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3e15fe116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池" sheetId="1" r:id="R42584738e77d430f"/>
    <x:sheet xmlns:r="http://schemas.openxmlformats.org/officeDocument/2006/relationships" name="复制给AI" sheetId="2" r:id="R558a1a9009dd4c33"/>
    <x:sheet xmlns:r="http://schemas.openxmlformats.org/officeDocument/2006/relationships" name="AI规则" sheetId="3" r:id="R1235d4f480e1431d"/>
    <x:sheet xmlns:r="http://schemas.openxmlformats.org/officeDocument/2006/relationships" name="使用说明" sheetId="4" r:id="R87273372ca9c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13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44546A"/>
      <x:name val="Microsoft YaHei"/>
    </x:font>
    <x:font>
      <x:b/>
      <x:sz val="11"/>
      <x:color rgb="FF17365D"/>
      <x:name val="Microsoft YaHei"/>
    </x:font>
    <x:font>
      <x:b/>
      <x:sz val="11"/>
      <x:color rgb="FF385723"/>
      <x:name val="Microsoft YaHei"/>
    </x:font>
    <x:font>
      <x:sz val="10"/>
      <x:name val="Microsoft YaHei"/>
    </x:font>
    <x:font>
      <x:sz val="12"/>
      <x:color rgb="FF3F3F3F"/>
      <x:name val="Microsoft YaHei"/>
    </x:font>
    <x:font>
      <x:b/>
      <x:sz val="12"/>
      <x:color rgb="FF17365D"/>
      <x:name val="Microsoft YaHei"/>
    </x:font>
    <x:font>
      <x:b/>
      <x:sz val="14"/>
      <x:color rgb="FF385723"/>
      <x:name val="Microsoft YaHei"/>
    </x:font>
    <x:font>
      <x:b/>
      <x:sz val="10"/>
      <x:color rgb="FF17365D"/>
      <x:name val="Microsoft YaHei"/>
    </x:font>
    <x:font>
      <x:sz val="10"/>
      <x:color rgb="FF274E13"/>
      <x:name val="Microsoft YaHei"/>
    </x:font>
    <x:font>
      <x:sz val="10"/>
      <x:color rgb="FF7F6000"/>
      <x:name val="Microsoft YaHei"/>
    </x:font>
    <x:font>
      <x:b/>
      <x:sz val="10"/>
      <x:color rgb="FF9C5700"/>
      <x:name val="Microsoft Ya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</x:fills>
  <x:borders count="4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B7C9D6"/>
      </x:left>
      <x:right style="thin">
        <x:color rgb="FFD5DEE5"/>
      </x:right>
      <x:top style="thin">
        <x:color rgb="FFB7C9D6"/>
      </x:top>
      <x:bottom style="thin">
        <x:color rgb="FFE2E8ED"/>
      </x:bottom>
    </x:border>
    <x:border>
      <x:left style="thin">
        <x:color rgb="FFD5DEE5"/>
      </x:left>
      <x:right style="thin">
        <x:color rgb="FFD5DEE5"/>
      </x:right>
      <x:top style="thin">
        <x:color rgb="FFB7C9D6"/>
      </x:top>
      <x:bottom style="thin">
        <x:color rgb="FFE2E8ED"/>
      </x:bottom>
    </x:border>
    <x:border>
      <x:left style="thin">
        <x:color rgb="FFD5DEE5"/>
      </x:left>
      <x:right style="thin">
        <x:color rgb="FFB7C9D6"/>
      </x:right>
      <x:top style="thin">
        <x:color rgb="FFB7C9D6"/>
      </x:top>
      <x:bottom style="thin">
        <x:color rgb="FFE2E8ED"/>
      </x:bottom>
    </x:border>
    <x:border>
      <x:left style="thin">
        <x:color rgb="FFB7C9D6"/>
      </x:left>
      <x:right style="thin">
        <x:color rgb="FFD5DEE5"/>
      </x:right>
      <x:top style="thin">
        <x:color rgb="FFE2E8ED"/>
      </x:top>
      <x:bottom style="thin">
        <x:color rgb="FFE2E8ED"/>
      </x:bottom>
    </x:border>
    <x:border>
      <x:left style="thin">
        <x:color rgb="FFD5DEE5"/>
      </x:left>
      <x:right style="thin">
        <x:color rgb="FFD5DEE5"/>
      </x:right>
      <x:top style="thin">
        <x:color rgb="FFE2E8ED"/>
      </x:top>
      <x:bottom style="thin">
        <x:color rgb="FFE2E8ED"/>
      </x:bottom>
    </x:border>
    <x:border>
      <x:left style="thin">
        <x:color rgb="FFD5DEE5"/>
      </x:left>
      <x:right style="thin">
        <x:color rgb="FFB7C9D6"/>
      </x:right>
      <x:top style="thin">
        <x:color rgb="FFE2E8ED"/>
      </x:top>
      <x:bottom style="thin">
        <x:color rgb="FFE2E8ED"/>
      </x:bottom>
    </x:border>
    <x:border>
      <x:left style="thin">
        <x:color rgb="FFB7C9D6"/>
      </x:left>
      <x:right style="thin">
        <x:color rgb="FFD5DEE5"/>
      </x:right>
      <x:top style="thin">
        <x:color rgb="FFE2E8ED"/>
      </x:top>
      <x:bottom style="thin">
        <x:color rgb="FFB7C9D6"/>
      </x:bottom>
    </x:border>
    <x:border>
      <x:left style="thin">
        <x:color rgb="FFD5DEE5"/>
      </x:left>
      <x:right style="thin">
        <x:color rgb="FFD5DEE5"/>
      </x:right>
      <x:top style="thin">
        <x:color rgb="FFE2E8ED"/>
      </x:top>
      <x:bottom style="thin">
        <x:color rgb="FFB7C9D6"/>
      </x:bottom>
    </x:border>
    <x:border>
      <x:left style="thin">
        <x:color rgb="FFD5DEE5"/>
      </x:left>
      <x:right style="thin">
        <x:color rgb="FFB7C9D6"/>
      </x:right>
      <x:top style="thin">
        <x:color rgb="FFE2E8ED"/>
      </x:top>
      <x:bottom style="thin">
        <x:color rgb="FFB7C9D6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E6B8AF"/>
      </x:left>
      <x:top style="thin">
        <x:color rgb="FFE6B8AF"/>
      </x:top>
    </x:border>
    <x:border>
      <x:top style="thin">
        <x:color rgb="FFE6B8AF"/>
      </x:top>
    </x:border>
    <x:border>
      <x:right style="thin">
        <x:color rgb="FFE6B8AF"/>
      </x:right>
      <x:top style="thin">
        <x:color rgb="FFE6B8AF"/>
      </x:top>
    </x:border>
    <x:border>
      <x:left style="thin">
        <x:color rgb="FFE6B8AF"/>
      </x:left>
    </x:border>
    <x:border>
      <x:right style="thin">
        <x:color rgb="FFE6B8AF"/>
      </x:right>
    </x:border>
    <x:border>
      <x:left style="thin">
        <x:color rgb="FFE6B8AF"/>
      </x:left>
      <x:bottom style="thin">
        <x:color rgb="FFE6B8AF"/>
      </x:bottom>
    </x:border>
    <x:border>
      <x:bottom style="thin">
        <x:color rgb="FFE6B8AF"/>
      </x:bottom>
    </x:border>
    <x:border>
      <x:right style="thin">
        <x:color rgb="FFE6B8AF"/>
      </x:right>
      <x:bottom style="thin">
        <x:color rgb="FFE6B8AF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7" xfId="0" applyNumberFormat="1" applyFont="1" applyFill="1" applyBorder="1" applyAlignment="1">
      <x:alignment vertical="center" wrapText="1"/>
    </x:xf>
    <x:xf numFmtId="0" fontId="5" fillId="10" borderId="10" xfId="0" applyNumberFormat="1" applyFont="1" applyFill="1" applyBorder="1" applyAlignment="1">
      <x:alignment vertical="center" wrapText="1"/>
    </x:xf>
    <x:xf numFmtId="0" fontId="5" fillId="11" borderId="4" xfId="0" applyNumberFormat="1" applyFont="1" applyFill="1" applyBorder="1" applyAlignment="1">
      <x:alignment vertical="center" wrapText="1"/>
    </x:xf>
    <x:xf numFmtId="0" fontId="5" fillId="11" borderId="5" xfId="0" applyNumberFormat="1" applyFont="1" applyFill="1" applyBorder="1" applyAlignment="1">
      <x:alignment vertical="center" wrapText="1"/>
    </x:xf>
    <x:xf numFmtId="0" fontId="5" fillId="11" borderId="7" xfId="0" applyNumberFormat="1" applyFont="1" applyFill="1" applyBorder="1" applyAlignment="1">
      <x:alignment vertical="center" wrapText="1"/>
    </x:xf>
    <x:xf numFmtId="0" fontId="5" fillId="11" borderId="8" xfId="0" applyNumberFormat="1" applyFont="1" applyFill="1" applyBorder="1" applyAlignment="1">
      <x:alignment vertical="center" wrapText="1"/>
    </x:xf>
    <x:xf numFmtId="0" fontId="5" fillId="11" borderId="10" xfId="0" applyNumberFormat="1" applyFont="1" applyFill="1" applyBorder="1" applyAlignment="1">
      <x:alignment vertical="center" wrapText="1"/>
    </x:xf>
    <x:xf numFmtId="0" fontId="5" fillId="11" borderId="11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5" fillId="9" borderId="9" xfId="0" applyNumberFormat="1" applyFont="1" applyFill="1" applyBorder="1" applyAlignment="1">
      <x:alignment horizontal="center" vertical="center" wrapText="1"/>
    </x:xf>
    <x:xf numFmtId="0" fontId="5" fillId="9" borderId="10" xfId="0" applyNumberFormat="1" applyFont="1" applyFill="1" applyBorder="1" applyAlignment="1">
      <x:alignment horizontal="center" vertical="center" wrapText="1"/>
    </x:xf>
    <x:xf numFmtId="0" fontId="5" fillId="10" borderId="10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left" vertical="center" wrapText="1"/>
    </x:xf>
    <x:xf numFmtId="0" fontId="5" fillId="11" borderId="4" xfId="0" applyNumberFormat="1" applyFont="1" applyFill="1" applyBorder="1" applyAlignment="1">
      <x:alignment horizontal="left" vertical="center" wrapText="1"/>
    </x:xf>
    <x:xf numFmtId="0" fontId="5" fillId="11" borderId="5" xfId="0" applyNumberFormat="1" applyFont="1" applyFill="1" applyBorder="1" applyAlignment="1">
      <x:alignment horizontal="left" vertical="center" wrapText="1"/>
    </x:xf>
    <x:xf numFmtId="0" fontId="5" fillId="10" borderId="7" xfId="0" applyNumberFormat="1" applyFont="1" applyFill="1" applyBorder="1" applyAlignment="1">
      <x:alignment horizontal="left" vertical="center" wrapText="1"/>
    </x:xf>
    <x:xf numFmtId="0" fontId="5" fillId="11" borderId="7" xfId="0" applyNumberFormat="1" applyFont="1" applyFill="1" applyBorder="1" applyAlignment="1">
      <x:alignment horizontal="left" vertical="center" wrapText="1"/>
    </x:xf>
    <x:xf numFmtId="0" fontId="5" fillId="11" borderId="8" xfId="0" applyNumberFormat="1" applyFont="1" applyFill="1" applyBorder="1" applyAlignment="1">
      <x:alignment horizontal="left" vertical="center" wrapText="1"/>
    </x:xf>
    <x:xf numFmtId="0" fontId="5" fillId="10" borderId="10" xfId="0" applyNumberFormat="1" applyFont="1" applyFill="1" applyBorder="1" applyAlignment="1">
      <x:alignment horizontal="left" vertical="center" wrapText="1"/>
    </x:xf>
    <x:xf numFmtId="0" fontId="5" fillId="11" borderId="10" xfId="0" applyNumberFormat="1" applyFont="1" applyFill="1" applyBorder="1" applyAlignment="1">
      <x:alignment horizontal="left" vertical="center" wrapText="1"/>
    </x:xf>
    <x:xf numFmtId="0" fontId="5" fillId="11" borderId="11" xfId="0" applyNumberFormat="1" applyFont="1" applyFill="1" applyBorder="1" applyAlignment="1">
      <x:alignment horizontal="left" vertical="center" wrapText="1"/>
    </x:xf>
    <x:xf numFmtId="201" fontId="5" fillId="11" borderId="5" xfId="0" applyNumberFormat="1" applyFont="1" applyFill="1" applyBorder="1" applyAlignment="1">
      <x:alignment horizontal="left" vertical="center" wrapText="1"/>
    </x:xf>
    <x:xf numFmtId="201" fontId="5" fillId="11" borderId="8" xfId="0" applyNumberFormat="1" applyFont="1" applyFill="1" applyBorder="1" applyAlignment="1">
      <x:alignment horizontal="left" vertical="center" wrapText="1"/>
    </x:xf>
    <x:xf numFmtId="201" fontId="5" fillId="11" borderId="11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2" xfId="0" applyNumberFormat="1" applyFont="1" applyFill="1" applyBorder="1"/>
    <x:xf numFmtId="0" fontId="6" fillId="10" borderId="13" xfId="0" applyNumberFormat="1" applyFont="1" applyFill="1" applyBorder="1"/>
    <x:xf numFmtId="0" fontId="6" fillId="10" borderId="14" xfId="0" applyNumberFormat="1" applyFont="1" applyFill="1" applyBorder="1"/>
    <x:xf numFmtId="0" fontId="6" fillId="10" borderId="15" xfId="0" applyNumberFormat="1" applyFont="1" applyFill="1" applyBorder="1"/>
    <x:xf numFmtId="0" fontId="6" fillId="10" borderId="16" xfId="0" applyNumberFormat="1" applyFont="1" applyFill="1" applyBorder="1"/>
    <x:xf numFmtId="0" fontId="6" fillId="10" borderId="17" xfId="0" applyNumberFormat="1" applyFont="1" applyFill="1" applyBorder="1"/>
    <x:xf numFmtId="0" fontId="6" fillId="10" borderId="18" xfId="0" applyNumberFormat="1" applyFont="1" applyFill="1" applyBorder="1"/>
    <x:xf numFmtId="0" fontId="6" fillId="10" borderId="19" xfId="0" applyNumberFormat="1" applyFont="1" applyFill="1" applyBorder="1"/>
    <x:xf numFmtId="0" fontId="6" fillId="10" borderId="12" xfId="0" applyNumberFormat="1" applyFont="1" applyFill="1" applyBorder="1" applyAlignment="1">
      <x:alignment wrapText="1"/>
    </x:xf>
    <x:xf numFmtId="0" fontId="6" fillId="10" borderId="13" xfId="0" applyNumberFormat="1" applyFont="1" applyFill="1" applyBorder="1" applyAlignment="1">
      <x:alignment wrapText="1"/>
    </x:xf>
    <x:xf numFmtId="0" fontId="6" fillId="10" borderId="14" xfId="0" applyNumberFormat="1" applyFont="1" applyFill="1" applyBorder="1" applyAlignment="1">
      <x:alignment wrapText="1"/>
    </x:xf>
    <x:xf numFmtId="0" fontId="6" fillId="10" borderId="15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16" xfId="0" applyNumberFormat="1" applyFont="1" applyFill="1" applyBorder="1" applyAlignment="1">
      <x:alignment wrapText="1"/>
    </x:xf>
    <x:xf numFmtId="0" fontId="6" fillId="10" borderId="17" xfId="0" applyNumberFormat="1" applyFont="1" applyFill="1" applyBorder="1" applyAlignment="1">
      <x:alignment wrapText="1"/>
    </x:xf>
    <x:xf numFmtId="0" fontId="6" fillId="10" borderId="18" xfId="0" applyNumberFormat="1" applyFont="1" applyFill="1" applyBorder="1" applyAlignment="1">
      <x:alignment wrapText="1"/>
    </x:xf>
    <x:xf numFmtId="0" fontId="6" fillId="10" borderId="19" xfId="0" applyNumberFormat="1" applyFont="1" applyFill="1" applyBorder="1" applyAlignment="1">
      <x:alignment wrapText="1"/>
    </x:xf>
    <x:xf numFmtId="0" fontId="6" fillId="10" borderId="12" xfId="0" applyNumberFormat="1" applyFont="1" applyFill="1" applyBorder="1" applyAlignment="1">
      <x:alignment horizontal="left" wrapText="1"/>
    </x:xf>
    <x:xf numFmtId="0" fontId="6" fillId="10" borderId="13" xfId="0" applyNumberFormat="1" applyFont="1" applyFill="1" applyBorder="1" applyAlignment="1">
      <x:alignment horizontal="left" wrapText="1"/>
    </x:xf>
    <x:xf numFmtId="0" fontId="6" fillId="10" borderId="14" xfId="0" applyNumberFormat="1" applyFont="1" applyFill="1" applyBorder="1" applyAlignment="1">
      <x:alignment horizontal="left" wrapText="1"/>
    </x:xf>
    <x:xf numFmtId="0" fontId="6" fillId="10" borderId="15" xfId="0" applyNumberFormat="1" applyFont="1" applyFill="1" applyBorder="1" applyAlignment="1">
      <x:alignment horizontal="left" wrapText="1"/>
    </x:xf>
    <x:xf numFmtId="0" fontId="6" fillId="10" borderId="0" xfId="0" applyNumberFormat="1" applyFont="1" applyFill="1" applyBorder="1" applyAlignment="1">
      <x:alignment horizontal="left" wrapText="1"/>
    </x:xf>
    <x:xf numFmtId="0" fontId="6" fillId="10" borderId="16" xfId="0" applyNumberFormat="1" applyFont="1" applyFill="1" applyBorder="1" applyAlignment="1">
      <x:alignment horizontal="left" wrapText="1"/>
    </x:xf>
    <x:xf numFmtId="0" fontId="6" fillId="10" borderId="17" xfId="0" applyNumberFormat="1" applyFont="1" applyFill="1" applyBorder="1" applyAlignment="1">
      <x:alignment horizontal="left" wrapText="1"/>
    </x:xf>
    <x:xf numFmtId="0" fontId="6" fillId="10" borderId="18" xfId="0" applyNumberFormat="1" applyFont="1" applyFill="1" applyBorder="1" applyAlignment="1">
      <x:alignment horizontal="left" wrapText="1"/>
    </x:xf>
    <x:xf numFmtId="0" fontId="6" fillId="10" borderId="19" xfId="0" applyNumberFormat="1" applyFont="1" applyFill="1" applyBorder="1" applyAlignment="1">
      <x:alignment horizontal="left" wrapText="1"/>
    </x:xf>
    <x:xf numFmtId="0" fontId="6" fillId="10" borderId="12" xfId="0" applyNumberFormat="1" applyFont="1" applyFill="1" applyBorder="1" applyAlignment="1">
      <x:alignment horizontal="left" vertical="top" wrapText="1"/>
    </x:xf>
    <x:xf numFmtId="0" fontId="6" fillId="10" borderId="13" xfId="0" applyNumberFormat="1" applyFont="1" applyFill="1" applyBorder="1" applyAlignment="1">
      <x:alignment horizontal="left" vertical="top" wrapText="1"/>
    </x:xf>
    <x:xf numFmtId="0" fontId="6" fillId="10" borderId="14" xfId="0" applyNumberFormat="1" applyFont="1" applyFill="1" applyBorder="1" applyAlignment="1">
      <x:alignment horizontal="left" vertical="top" wrapText="1"/>
    </x:xf>
    <x:xf numFmtId="0" fontId="6" fillId="10" borderId="15" xfId="0" applyNumberFormat="1" applyFont="1" applyFill="1" applyBorder="1" applyAlignment="1">
      <x:alignment horizontal="left" vertical="top" wrapText="1"/>
    </x:xf>
    <x:xf numFmtId="0" fontId="6" fillId="10" borderId="0" xfId="0" applyNumberFormat="1" applyFont="1" applyFill="1" applyBorder="1" applyAlignment="1">
      <x:alignment horizontal="left" vertical="top" wrapText="1"/>
    </x:xf>
    <x:xf numFmtId="0" fontId="6" fillId="10" borderId="16" xfId="0" applyNumberFormat="1" applyFont="1" applyFill="1" applyBorder="1" applyAlignment="1">
      <x:alignment horizontal="left" vertical="top" wrapText="1"/>
    </x:xf>
    <x:xf numFmtId="0" fontId="6" fillId="10" borderId="17" xfId="0" applyNumberFormat="1" applyFont="1" applyFill="1" applyBorder="1" applyAlignment="1">
      <x:alignment horizontal="left" vertical="top" wrapText="1"/>
    </x:xf>
    <x:xf numFmtId="0" fontId="6" fillId="10" borderId="18" xfId="0" applyNumberFormat="1" applyFont="1" applyFill="1" applyBorder="1" applyAlignment="1">
      <x:alignment horizontal="left" vertical="top" wrapText="1"/>
    </x:xf>
    <x:xf numFmtId="0" fontId="6" fillId="10" borderId="19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2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20" xfId="0" applyNumberFormat="1" applyFont="1" applyFill="1" applyBorder="1"/>
    <x:xf numFmtId="0" fontId="10" fillId="6" borderId="21" xfId="0" applyNumberFormat="1" applyFont="1" applyFill="1" applyBorder="1"/>
    <x:xf numFmtId="0" fontId="10" fillId="6" borderId="22" xfId="0" applyNumberFormat="1" applyFont="1" applyFill="1" applyBorder="1"/>
    <x:xf numFmtId="0" fontId="10" fillId="6" borderId="23" xfId="0" applyNumberFormat="1" applyFont="1" applyFill="1" applyBorder="1"/>
    <x:xf numFmtId="0" fontId="10" fillId="6" borderId="24" xfId="0" applyNumberFormat="1" applyFont="1" applyFill="1" applyBorder="1"/>
    <x:xf numFmtId="0" fontId="10" fillId="6" borderId="25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0" xfId="0" applyNumberFormat="1" applyFont="1" applyFill="1" applyBorder="1" applyAlignment="1">
      <x:alignment wrapText="1"/>
    </x:xf>
    <x:xf numFmtId="0" fontId="10" fillId="6" borderId="21" xfId="0" applyNumberFormat="1" applyFont="1" applyFill="1" applyBorder="1" applyAlignment="1">
      <x:alignment wrapText="1"/>
    </x:xf>
    <x:xf numFmtId="0" fontId="10" fillId="6" borderId="22" xfId="0" applyNumberFormat="1" applyFont="1" applyFill="1" applyBorder="1" applyAlignment="1">
      <x:alignment wrapText="1"/>
    </x:xf>
    <x:xf numFmtId="0" fontId="10" fillId="6" borderId="23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24" xfId="0" applyNumberFormat="1" applyFont="1" applyFill="1" applyBorder="1" applyAlignment="1">
      <x:alignment wrapText="1"/>
    </x:xf>
    <x:xf numFmtId="0" fontId="10" fillId="6" borderId="25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0" xfId="0" applyNumberFormat="1" applyFont="1" applyFill="1" applyBorder="1" applyAlignment="1">
      <x:alignment horizontal="left" wrapText="1"/>
    </x:xf>
    <x:xf numFmtId="0" fontId="10" fillId="6" borderId="21" xfId="0" applyNumberFormat="1" applyFont="1" applyFill="1" applyBorder="1" applyAlignment="1">
      <x:alignment horizontal="left" wrapText="1"/>
    </x:xf>
    <x:xf numFmtId="0" fontId="10" fillId="6" borderId="22" xfId="0" applyNumberFormat="1" applyFont="1" applyFill="1" applyBorder="1" applyAlignment="1">
      <x:alignment horizontal="left" wrapText="1"/>
    </x:xf>
    <x:xf numFmtId="0" fontId="10" fillId="6" borderId="23" xfId="0" applyNumberFormat="1" applyFont="1" applyFill="1" applyBorder="1" applyAlignment="1">
      <x:alignment horizontal="left" wrapText="1"/>
    </x:xf>
    <x:xf numFmtId="0" fontId="10" fillId="6" borderId="0" xfId="0" applyNumberFormat="1" applyFont="1" applyFill="1" applyBorder="1" applyAlignment="1">
      <x:alignment horizontal="left" wrapText="1"/>
    </x:xf>
    <x:xf numFmtId="0" fontId="10" fillId="6" borderId="24" xfId="0" applyNumberFormat="1" applyFont="1" applyFill="1" applyBorder="1" applyAlignment="1">
      <x:alignment horizontal="left" wrapText="1"/>
    </x:xf>
    <x:xf numFmtId="0" fontId="10" fillId="6" borderId="25" xfId="0" applyNumberFormat="1" applyFont="1" applyFill="1" applyBorder="1" applyAlignment="1">
      <x:alignment horizontal="left" wrapText="1"/>
    </x:xf>
    <x:xf numFmtId="0" fontId="10" fillId="6" borderId="26" xfId="0" applyNumberFormat="1" applyFont="1" applyFill="1" applyBorder="1" applyAlignment="1">
      <x:alignment horizontal="left" wrapText="1"/>
    </x:xf>
    <x:xf numFmtId="0" fontId="10" fillId="6" borderId="27" xfId="0" applyNumberFormat="1" applyFont="1" applyFill="1" applyBorder="1" applyAlignment="1">
      <x:alignment horizontal="left" wrapText="1"/>
    </x:xf>
    <x:xf numFmtId="0" fontId="10" fillId="6" borderId="20" xfId="0" applyNumberFormat="1" applyFont="1" applyFill="1" applyBorder="1" applyAlignment="1">
      <x:alignment horizontal="left" vertical="top" wrapText="1"/>
    </x:xf>
    <x:xf numFmtId="0" fontId="10" fillId="6" borderId="21" xfId="0" applyNumberFormat="1" applyFont="1" applyFill="1" applyBorder="1" applyAlignment="1">
      <x:alignment horizontal="left" vertical="top" wrapText="1"/>
    </x:xf>
    <x:xf numFmtId="0" fontId="10" fillId="6" borderId="22" xfId="0" applyNumberFormat="1" applyFont="1" applyFill="1" applyBorder="1" applyAlignment="1">
      <x:alignment horizontal="left" vertical="top" wrapText="1"/>
    </x:xf>
    <x:xf numFmtId="0" fontId="10" fillId="6" borderId="23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0" fontId="10" fillId="6" borderId="24" xfId="0" applyNumberFormat="1" applyFont="1" applyFill="1" applyBorder="1" applyAlignment="1">
      <x:alignment horizontal="left" vertical="top" wrapText="1"/>
    </x:xf>
    <x:xf numFmtId="0" fontId="10" fillId="6" borderId="25" xfId="0" applyNumberFormat="1" applyFont="1" applyFill="1" applyBorder="1" applyAlignment="1">
      <x:alignment horizontal="left" vertical="top" wrapText="1"/>
    </x:xf>
    <x:xf numFmtId="0" fontId="10" fillId="6" borderId="26" xfId="0" applyNumberFormat="1" applyFont="1" applyFill="1" applyBorder="1" applyAlignment="1">
      <x:alignment horizontal="left" vertical="top" wrapText="1"/>
    </x:xf>
    <x:xf numFmtId="0" fontId="10" fillId="6" borderId="27" xfId="0" applyNumberFormat="1" applyFont="1" applyFill="1" applyBorder="1" applyAlignment="1">
      <x:alignment horizontal="left" vertical="top" wrapText="1"/>
    </x:xf>
    <x:xf numFmtId="0" fontId="11" fillId="10" borderId="0" xfId="0" applyNumberFormat="1" applyFont="1" applyFill="1" applyBorder="1"/>
    <x:xf numFmtId="0" fontId="11" fillId="10" borderId="28" xfId="0" applyNumberFormat="1" applyFont="1" applyFill="1" applyBorder="1"/>
    <x:xf numFmtId="0" fontId="11" fillId="10" borderId="29" xfId="0" applyNumberFormat="1" applyFont="1" applyFill="1" applyBorder="1"/>
    <x:xf numFmtId="0" fontId="11" fillId="10" borderId="30" xfId="0" applyNumberFormat="1" applyFont="1" applyFill="1" applyBorder="1"/>
    <x:xf numFmtId="0" fontId="11" fillId="10" borderId="31" xfId="0" applyNumberFormat="1" applyFont="1" applyFill="1" applyBorder="1"/>
    <x:xf numFmtId="0" fontId="11" fillId="10" borderId="32" xfId="0" applyNumberFormat="1" applyFont="1" applyFill="1" applyBorder="1"/>
    <x:xf numFmtId="0" fontId="11" fillId="10" borderId="33" xfId="0" applyNumberFormat="1" applyFont="1" applyFill="1" applyBorder="1"/>
    <x:xf numFmtId="0" fontId="11" fillId="10" borderId="34" xfId="0" applyNumberFormat="1" applyFont="1" applyFill="1" applyBorder="1"/>
    <x:xf numFmtId="0" fontId="11" fillId="10" borderId="35" xfId="0" applyNumberFormat="1" applyFont="1" applyFill="1" applyBorder="1"/>
    <x:xf numFmtId="0" fontId="11" fillId="10" borderId="28" xfId="0" applyNumberFormat="1" applyFont="1" applyFill="1" applyBorder="1" applyAlignment="1">
      <x:alignment wrapText="1"/>
    </x:xf>
    <x:xf numFmtId="0" fontId="11" fillId="10" borderId="29" xfId="0" applyNumberFormat="1" applyFont="1" applyFill="1" applyBorder="1" applyAlignment="1">
      <x:alignment wrapText="1"/>
    </x:xf>
    <x:xf numFmtId="0" fontId="11" fillId="10" borderId="30" xfId="0" applyNumberFormat="1" applyFont="1" applyFill="1" applyBorder="1" applyAlignment="1">
      <x:alignment wrapText="1"/>
    </x:xf>
    <x:xf numFmtId="0" fontId="11" fillId="10" borderId="31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32" xfId="0" applyNumberFormat="1" applyFont="1" applyFill="1" applyBorder="1" applyAlignment="1">
      <x:alignment wrapText="1"/>
    </x:xf>
    <x:xf numFmtId="0" fontId="11" fillId="10" borderId="33" xfId="0" applyNumberFormat="1" applyFont="1" applyFill="1" applyBorder="1" applyAlignment="1">
      <x:alignment wrapText="1"/>
    </x:xf>
    <x:xf numFmtId="0" fontId="11" fillId="10" borderId="34" xfId="0" applyNumberFormat="1" applyFont="1" applyFill="1" applyBorder="1" applyAlignment="1">
      <x:alignment wrapText="1"/>
    </x:xf>
    <x:xf numFmtId="0" fontId="11" fillId="10" borderId="35" xfId="0" applyNumberFormat="1" applyFont="1" applyFill="1" applyBorder="1" applyAlignment="1">
      <x:alignment wrapText="1"/>
    </x:xf>
    <x:xf numFmtId="0" fontId="11" fillId="10" borderId="28" xfId="0" applyNumberFormat="1" applyFont="1" applyFill="1" applyBorder="1" applyAlignment="1">
      <x:alignment vertical="center" wrapText="1"/>
    </x:xf>
    <x:xf numFmtId="0" fontId="11" fillId="10" borderId="29" xfId="0" applyNumberFormat="1" applyFont="1" applyFill="1" applyBorder="1" applyAlignment="1">
      <x:alignment vertical="center" wrapText="1"/>
    </x:xf>
    <x:xf numFmtId="0" fontId="11" fillId="10" borderId="30" xfId="0" applyNumberFormat="1" applyFont="1" applyFill="1" applyBorder="1" applyAlignment="1">
      <x:alignment vertical="center" wrapText="1"/>
    </x:xf>
    <x:xf numFmtId="0" fontId="11" fillId="10" borderId="31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0" borderId="32" xfId="0" applyNumberFormat="1" applyFont="1" applyFill="1" applyBorder="1" applyAlignment="1">
      <x:alignment vertical="center" wrapText="1"/>
    </x:xf>
    <x:xf numFmtId="0" fontId="11" fillId="10" borderId="33" xfId="0" applyNumberFormat="1" applyFont="1" applyFill="1" applyBorder="1" applyAlignment="1">
      <x:alignment vertical="center" wrapText="1"/>
    </x:xf>
    <x:xf numFmtId="0" fontId="11" fillId="10" borderId="34" xfId="0" applyNumberFormat="1" applyFont="1" applyFill="1" applyBorder="1" applyAlignment="1">
      <x:alignment vertical="center" wrapText="1"/>
    </x:xf>
    <x:xf numFmtId="0" fontId="11" fillId="10" borderId="35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5" fillId="13" borderId="1" xfId="0" applyNumberFormat="1" applyFont="1" applyFill="1" applyBorder="1" applyAlignment="1">
      <x:alignment vertical="center" wrapText="1"/>
    </x:xf>
    <x:xf numFmtId="0" fontId="9" fillId="14" borderId="1" xfId="0" applyNumberFormat="1" applyFont="1" applyFill="1" applyBorder="1" applyAlignment="1">
      <x:alignment vertical="center" wrapText="1"/>
    </x:xf>
    <x:xf numFmtId="0" fontId="5" fillId="14" borderId="1" xfId="0" applyNumberFormat="1" applyFont="1" applyFill="1" applyBorder="1" applyAlignment="1">
      <x:alignment vertical="center" wrapText="1"/>
    </x:xf>
    <x:xf numFmtId="0" fontId="12" fillId="14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36" xfId="0" applyNumberFormat="1" applyFont="1" applyFill="1" applyBorder="1"/>
    <x:xf numFmtId="0" fontId="12" fillId="14" borderId="37" xfId="0" applyNumberFormat="1" applyFont="1" applyFill="1" applyBorder="1"/>
    <x:xf numFmtId="0" fontId="12" fillId="14" borderId="38" xfId="0" applyNumberFormat="1" applyFont="1" applyFill="1" applyBorder="1"/>
    <x:xf numFmtId="0" fontId="12" fillId="14" borderId="39" xfId="0" applyNumberFormat="1" applyFont="1" applyFill="1" applyBorder="1"/>
    <x:xf numFmtId="0" fontId="12" fillId="14" xfId="0" applyNumberFormat="1" applyFont="1" applyFill="1" applyBorder="0"/>
    <x:xf numFmtId="0" fontId="12" fillId="14" borderId="40" xfId="0" applyNumberFormat="1" applyFont="1" applyFill="1" applyBorder="1"/>
    <x:xf numFmtId="0" fontId="12" fillId="14" borderId="41" xfId="0" applyNumberFormat="1" applyFont="1" applyFill="1" applyBorder="1"/>
    <x:xf numFmtId="0" fontId="12" fillId="14" borderId="42" xfId="0" applyNumberFormat="1" applyFont="1" applyFill="1" applyBorder="1"/>
    <x:xf numFmtId="0" fontId="12" fillId="14" borderId="43" xfId="0" applyNumberFormat="1" applyFont="1" applyFill="1" applyBorder="1"/>
    <x:xf numFmtId="0" fontId="12" fillId="14" borderId="36" xfId="0" applyNumberFormat="1" applyFont="1" applyFill="1" applyBorder="1" applyAlignment="1">
      <x:alignment wrapText="1"/>
    </x:xf>
    <x:xf numFmtId="0" fontId="12" fillId="14" borderId="37" xfId="0" applyNumberFormat="1" applyFont="1" applyFill="1" applyBorder="1" applyAlignment="1">
      <x:alignment wrapText="1"/>
    </x:xf>
    <x:xf numFmtId="0" fontId="12" fillId="14" borderId="38" xfId="0" applyNumberFormat="1" applyFont="1" applyFill="1" applyBorder="1" applyAlignment="1">
      <x:alignment wrapText="1"/>
    </x:xf>
    <x:xf numFmtId="0" fontId="12" fillId="14" borderId="39" xfId="0" applyNumberFormat="1" applyFont="1" applyFill="1" applyBorder="1" applyAlignment="1">
      <x:alignment wrapText="1"/>
    </x:xf>
    <x:xf numFmtId="0" fontId="12" fillId="14" xfId="0" applyNumberFormat="1" applyFont="1" applyFill="1" applyBorder="0" applyAlignment="1">
      <x:alignment wrapText="1"/>
    </x:xf>
    <x:xf numFmtId="0" fontId="12" fillId="14" borderId="40" xfId="0" applyNumberFormat="1" applyFont="1" applyFill="1" applyBorder="1" applyAlignment="1">
      <x:alignment wrapText="1"/>
    </x:xf>
    <x:xf numFmtId="0" fontId="12" fillId="14" borderId="41" xfId="0" applyNumberFormat="1" applyFont="1" applyFill="1" applyBorder="1" applyAlignment="1">
      <x:alignment wrapText="1"/>
    </x:xf>
    <x:xf numFmtId="0" fontId="12" fillId="14" borderId="42" xfId="0" applyNumberFormat="1" applyFont="1" applyFill="1" applyBorder="1" applyAlignment="1">
      <x:alignment wrapText="1"/>
    </x:xf>
    <x:xf numFmtId="0" fontId="12" fillId="14" borderId="43" xfId="0" applyNumberFormat="1" applyFont="1" applyFill="1" applyBorder="1" applyAlignment="1">
      <x:alignment wrapText="1"/>
    </x:xf>
    <x:xf numFmtId="0" fontId="12" fillId="14" borderId="36" xfId="0" applyNumberFormat="1" applyFont="1" applyFill="1" applyBorder="1" applyAlignment="1">
      <x:alignment vertical="center" wrapText="1"/>
    </x:xf>
    <x:xf numFmtId="0" fontId="12" fillId="14" borderId="37" xfId="0" applyNumberFormat="1" applyFont="1" applyFill="1" applyBorder="1" applyAlignment="1">
      <x:alignment vertical="center" wrapText="1"/>
    </x:xf>
    <x:xf numFmtId="0" fontId="12" fillId="14" borderId="38" xfId="0" applyNumberFormat="1" applyFont="1" applyFill="1" applyBorder="1" applyAlignment="1">
      <x:alignment vertical="center" wrapText="1"/>
    </x:xf>
    <x:xf numFmtId="0" fontId="12" fillId="14" borderId="39" xfId="0" applyNumberFormat="1" applyFont="1" applyFill="1" applyBorder="1" applyAlignment="1">
      <x:alignment vertical="center" wrapText="1"/>
    </x:xf>
    <x:xf numFmtId="0" fontId="12" fillId="14" xfId="0" applyNumberFormat="1" applyFont="1" applyFill="1" applyBorder="0" applyAlignment="1">
      <x:alignment vertical="center" wrapText="1"/>
    </x:xf>
    <x:xf numFmtId="0" fontId="12" fillId="14" borderId="40" xfId="0" applyNumberFormat="1" applyFont="1" applyFill="1" applyBorder="1" applyAlignment="1">
      <x:alignment vertical="center" wrapText="1"/>
    </x:xf>
    <x:xf numFmtId="0" fontId="12" fillId="14" borderId="41" xfId="0" applyNumberFormat="1" applyFont="1" applyFill="1" applyBorder="1" applyAlignment="1">
      <x:alignment vertical="center" wrapText="1"/>
    </x:xf>
    <x:xf numFmtId="0" fontId="12" fillId="14" borderId="42" xfId="0" applyNumberFormat="1" applyFont="1" applyFill="1" applyBorder="1" applyAlignment="1">
      <x:alignment vertical="center" wrapText="1"/>
    </x:xf>
    <x:xf numFmtId="0" fontId="12" fillId="14" borderId="4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28" xfId="0" applyNumberFormat="1" applyFont="1" applyFill="1" applyBorder="1"/>
    <x:xf numFmtId="0" fontId="11" fillId="12" borderId="29" xfId="0" applyNumberFormat="1" applyFont="1" applyFill="1" applyBorder="1"/>
    <x:xf numFmtId="0" fontId="11" fillId="12" borderId="30" xfId="0" applyNumberFormat="1" applyFont="1" applyFill="1" applyBorder="1"/>
    <x:xf numFmtId="0" fontId="11" fillId="12" borderId="31" xfId="0" applyNumberFormat="1" applyFont="1" applyFill="1" applyBorder="1"/>
    <x:xf numFmtId="0" fontId="11" fillId="12" xfId="0" applyNumberFormat="1" applyFont="1" applyFill="1" applyBorder="0"/>
    <x:xf numFmtId="0" fontId="11" fillId="12" borderId="32" xfId="0" applyNumberFormat="1" applyFont="1" applyFill="1" applyBorder="1"/>
    <x:xf numFmtId="0" fontId="11" fillId="12" borderId="33" xfId="0" applyNumberFormat="1" applyFont="1" applyFill="1" applyBorder="1"/>
    <x:xf numFmtId="0" fontId="11" fillId="12" borderId="34" xfId="0" applyNumberFormat="1" applyFont="1" applyFill="1" applyBorder="1"/>
    <x:xf numFmtId="0" fontId="11" fillId="12" borderId="35" xfId="0" applyNumberFormat="1" applyFont="1" applyFill="1" applyBorder="1"/>
    <x:xf numFmtId="0" fontId="11" fillId="12" borderId="28" xfId="0" applyNumberFormat="1" applyFont="1" applyFill="1" applyBorder="1" applyAlignment="1">
      <x:alignment wrapText="1"/>
    </x:xf>
    <x:xf numFmtId="0" fontId="11" fillId="12" borderId="29" xfId="0" applyNumberFormat="1" applyFont="1" applyFill="1" applyBorder="1" applyAlignment="1">
      <x:alignment wrapText="1"/>
    </x:xf>
    <x:xf numFmtId="0" fontId="11" fillId="12" borderId="30" xfId="0" applyNumberFormat="1" applyFont="1" applyFill="1" applyBorder="1" applyAlignment="1">
      <x:alignment wrapText="1"/>
    </x:xf>
    <x:xf numFmtId="0" fontId="11" fillId="12" borderId="31" xfId="0" applyNumberFormat="1" applyFont="1" applyFill="1" applyBorder="1" applyAlignment="1">
      <x:alignment wrapText="1"/>
    </x:xf>
    <x:xf numFmtId="0" fontId="11" fillId="12" xfId="0" applyNumberFormat="1" applyFont="1" applyFill="1" applyBorder="0" applyAlignment="1">
      <x:alignment wrapText="1"/>
    </x:xf>
    <x:xf numFmtId="0" fontId="11" fillId="12" borderId="32" xfId="0" applyNumberFormat="1" applyFont="1" applyFill="1" applyBorder="1" applyAlignment="1">
      <x:alignment wrapText="1"/>
    </x:xf>
    <x:xf numFmtId="0" fontId="11" fillId="12" borderId="33" xfId="0" applyNumberFormat="1" applyFont="1" applyFill="1" applyBorder="1" applyAlignment="1">
      <x:alignment wrapText="1"/>
    </x:xf>
    <x:xf numFmtId="0" fontId="11" fillId="12" borderId="34" xfId="0" applyNumberFormat="1" applyFont="1" applyFill="1" applyBorder="1" applyAlignment="1">
      <x:alignment wrapText="1"/>
    </x:xf>
    <x:xf numFmtId="0" fontId="11" fillId="12" borderId="35" xfId="0" applyNumberFormat="1" applyFont="1" applyFill="1" applyBorder="1" applyAlignment="1">
      <x:alignment wrapText="1"/>
    </x:xf>
    <x:xf numFmtId="0" fontId="11" fillId="12" borderId="28" xfId="0" applyNumberFormat="1" applyFont="1" applyFill="1" applyBorder="1" applyAlignment="1">
      <x:alignment vertical="center" wrapText="1"/>
    </x:xf>
    <x:xf numFmtId="0" fontId="11" fillId="12" borderId="29" xfId="0" applyNumberFormat="1" applyFont="1" applyFill="1" applyBorder="1" applyAlignment="1">
      <x:alignment vertical="center" wrapText="1"/>
    </x:xf>
    <x:xf numFmtId="0" fontId="11" fillId="12" borderId="30" xfId="0" applyNumberFormat="1" applyFont="1" applyFill="1" applyBorder="1" applyAlignment="1">
      <x:alignment vertical="center" wrapText="1"/>
    </x:xf>
    <x:xf numFmtId="0" fontId="11" fillId="12" borderId="31" xfId="0" applyNumberFormat="1" applyFont="1" applyFill="1" applyBorder="1" applyAlignment="1">
      <x:alignment vertical="center" wrapText="1"/>
    </x:xf>
    <x:xf numFmtId="0" fontId="11" fillId="12" xfId="0" applyNumberFormat="1" applyFont="1" applyFill="1" applyBorder="0" applyAlignment="1">
      <x:alignment vertical="center" wrapText="1"/>
    </x:xf>
    <x:xf numFmtId="0" fontId="11" fillId="12" borderId="32" xfId="0" applyNumberFormat="1" applyFont="1" applyFill="1" applyBorder="1" applyAlignment="1">
      <x:alignment vertical="center" wrapText="1"/>
    </x:xf>
    <x:xf numFmtId="0" fontId="11" fillId="12" borderId="33" xfId="0" applyNumberFormat="1" applyFont="1" applyFill="1" applyBorder="1" applyAlignment="1">
      <x:alignment vertical="center" wrapText="1"/>
    </x:xf>
    <x:xf numFmtId="0" fontId="11" fillId="12" borderId="34" xfId="0" applyNumberFormat="1" applyFont="1" applyFill="1" applyBorder="1" applyAlignment="1">
      <x:alignment vertical="center" wrapText="1"/>
    </x:xf>
    <x:xf numFmtId="0" fontId="11" fillId="12" borderId="3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55c4e537f44a9" /><Relationship Type="http://schemas.openxmlformats.org/officeDocument/2006/relationships/theme" Target="/xl/theme/theme1.xml" Id="R0ddd2d1f7a7b4b5a" /><Relationship Type="http://schemas.openxmlformats.org/officeDocument/2006/relationships/sharedStrings" Target="/xl/sharedStrings.xml" Id="R9760247e41434c1f" /><Relationship Type="http://schemas.openxmlformats.org/officeDocument/2006/relationships/worksheet" Target="/xl/worksheets/sheet1.xml" Id="R42584738e77d430f" /><Relationship Type="http://schemas.openxmlformats.org/officeDocument/2006/relationships/worksheet" Target="/xl/worksheets/sheet2.xml" Id="R558a1a9009dd4c33" /><Relationship Type="http://schemas.openxmlformats.org/officeDocument/2006/relationships/worksheet" Target="/xl/worksheets/sheet3.xml" Id="R1235d4f480e1431d" /><Relationship Type="http://schemas.openxmlformats.org/officeDocument/2006/relationships/worksheet" Target="/xl/worksheets/sheet4.xml" Id="R87273372ca9c4e17" /></Relationships>
</file>

<file path=xl/tables/table1.xml><?xml version="1.0" encoding="utf-8"?>
<x:table xmlns:x="http://schemas.openxmlformats.org/spreadsheetml/2006/main" id="1" name="StoryRequestPool" displayName="StoryRequestPool" ref="A4:N104" headerRowCount="1" totalsRowCount="0" totalsRowShown="0">
  <x:autoFilter ref="A4:N104"/>
  <x:tableColumns count="14">
    <x:tableColumn id="1" name="行号（自动）"/>
    <x:tableColumn id="2" name="状态（自动/下拉）"/>
    <x:tableColumn id="3" name="内容性质（下拉）"/>
    <x:tableColumn id="4" name="需求一句话（必填）"/>
    <x:tableColumn id="5" name="触发时机（可空）"/>
    <x:tableColumn id="6" name="玩家动作（可空）"/>
    <x:tableColumn id="7" name="对象与场景（可空）"/>
    <x:tableColumn id="8" name="特殊要求（可空）"/>
    <x:tableColumn id="9" name="AI配置判断"/>
    <x:tableColumn id="10" name="涉及配置表"/>
    <x:tableColumn id="11" name="使用/新增ID"/>
    <x:tableColumn id="12" name="输出文件"/>
    <x:tableColumn id="13" name="AI假设与待确认"/>
    <x:tableColumn id="14" name="完成时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b8e738e644a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34" hidden="0" customWidth="1"/>
    <x:col min="5" max="5" width="20" hidden="0" customWidth="1"/>
    <x:col min="6" max="6" width="18" hidden="0" customWidth="1"/>
    <x:col min="7" max="7" width="24" hidden="0" customWidth="1"/>
    <x:col min="8" max="8" width="26" hidden="0" customWidth="1"/>
    <x:col min="9" max="9" width="24" hidden="0" customWidth="1"/>
    <x:col min="10" max="10" width="26" hidden="0" customWidth="1"/>
    <x:col min="11" max="11" width="20" hidden="0" customWidth="1"/>
    <x:col min="12" max="12" width="28" hidden="0" customWidth="1"/>
    <x:col min="13" max="13" width="30" hidden="0" customWidth="1"/>
    <x:col min="14" max="14" width="18" hidden="0" customWidth="1"/>
  </x:cols>
  <x:sheetData>
    <x:row r="1" ht="34" customHeight="1">
      <x:c r="A1" s="4" t="str">
        <x:v>Bubble 剧情 / 事件 AI 配置需求池</x:v>
      </x:c>
    </x:row>
    <x:row r="2" ht="28" customHeight="1">
      <x:c r="A2" s="9" t="str">
        <x:v>最少只填“需求一句话”；内容性质可下拉选择，其余可空。AI只处理“待配置且需求一句话不为空”的行；生成配置统一写在目标Sheet的A列END行下方。</x:v>
      </x:c>
    </x:row>
    <x:row r="3" ht="25" customHeight="1">
      <x:c r="A3" s="17" t="str">
        <x:v>待配置</x:v>
      </x:c>
      <x:c r="B3" s="18" t="n">
        <x:f>COUNTIFS($B$5:$B$104,"待配置",$D$5:$D$104,"&lt;&gt;")</x:f>
        <x:v>0</x:v>
      </x:c>
      <x:c r="C3" s="17" t="str">
        <x:v>配置中</x:v>
      </x:c>
      <x:c r="D3" s="18" t="n">
        <x:f>COUNTIFS($B$5:$B$104,"配置中",$D$5:$D$104,"&lt;&gt;")</x:f>
        <x:v>0</x:v>
      </x:c>
      <x:c r="E3" s="17" t="str">
        <x:v>待确认</x:v>
      </x:c>
      <x:c r="F3" s="18" t="n">
        <x:f>COUNTIFS($B$5:$B$104,"待确认",$D$5:$D$104,"&lt;&gt;")</x:f>
        <x:v>0</x:v>
      </x:c>
      <x:c r="G3" s="17" t="str">
        <x:v>已完成</x:v>
      </x:c>
      <x:c r="H3" s="18" t="n">
        <x:f>COUNTIFS($B$5:$B$104,"已完成",$D$5:$D$104,"&lt;&gt;")</x:f>
        <x:v>0</x:v>
      </x:c>
      <x:c r="I3" s="24" t="str">
        <x:v>AI读取：B列=待配置且D列非空；配置写在目标Sheet的END下方（非导出草稿）</x:v>
      </x:c>
    </x:row>
    <x:row r="4" ht="34" customHeight="1">
      <x:c r="A4" s="29" t="str">
        <x:v>行号（自动）</x:v>
      </x:c>
      <x:c r="B4" s="29" t="str">
        <x:v>状态（自动/下拉）</x:v>
      </x:c>
      <x:c r="C4" s="29" t="str">
        <x:v>内容性质（下拉）</x:v>
      </x:c>
      <x:c r="D4" s="29" t="str">
        <x:v>需求一句话（必填）</x:v>
      </x:c>
      <x:c r="E4" s="29" t="str">
        <x:v>触发时机（可空）</x:v>
      </x:c>
      <x:c r="F4" s="29" t="str">
        <x:v>玩家动作（可空）</x:v>
      </x:c>
      <x:c r="G4" s="29" t="str">
        <x:v>对象与场景（可空）</x:v>
      </x:c>
      <x:c r="H4" s="29" t="str">
        <x:v>特殊要求（可空）</x:v>
      </x:c>
      <x:c r="I4" s="30" t="str">
        <x:v>AI配置判断</x:v>
      </x:c>
      <x:c r="J4" s="30" t="str">
        <x:v>涉及配置表</x:v>
      </x:c>
      <x:c r="K4" s="30" t="str">
        <x:v>使用/新增ID</x:v>
      </x:c>
      <x:c r="L4" s="30" t="str">
        <x:v>输出文件</x:v>
      </x:c>
      <x:c r="M4" s="30" t="str">
        <x:v>AI假设与待确认</x:v>
      </x:c>
      <x:c r="N4" s="30" t="str">
        <x:v>完成时间</x:v>
      </x:c>
    </x:row>
    <x:row r="5" ht="28" customHeight="1">
      <x:c r="A5" s="74" t="str">
        <x:f>IF(D5="","",ROW()-4)</x:f>
      </x:c>
      <x:c r="B5" s="75" t="str">
        <x:f>IF(D5="","","待配置")</x:f>
      </x:c>
      <x:c r="C5" s="76"/>
      <x:c r="D5" s="83"/>
      <x:c r="E5" s="83"/>
      <x:c r="F5" s="83"/>
      <x:c r="G5" s="83"/>
      <x:c r="H5" s="83"/>
      <x:c r="I5" s="84"/>
      <x:c r="J5" s="84"/>
      <x:c r="K5" s="84"/>
      <x:c r="L5" s="84"/>
      <x:c r="M5" s="84"/>
      <x:c r="N5" s="92"/>
    </x:row>
    <x:row r="6" ht="28" customHeight="1">
      <x:c r="A6" s="77" t="str">
        <x:f>IF(D6="","",ROW()-4)</x:f>
      </x:c>
      <x:c r="B6" s="78" t="str">
        <x:f>IF(D6="","","待配置")</x:f>
      </x:c>
      <x:c r="C6" s="79"/>
      <x:c r="D6" s="86"/>
      <x:c r="E6" s="86"/>
      <x:c r="F6" s="86"/>
      <x:c r="G6" s="86"/>
      <x:c r="H6" s="86"/>
      <x:c r="I6" s="87"/>
      <x:c r="J6" s="87"/>
      <x:c r="K6" s="87"/>
      <x:c r="L6" s="87"/>
      <x:c r="M6" s="87"/>
      <x:c r="N6" s="93"/>
    </x:row>
    <x:row r="7" ht="28" customHeight="1">
      <x:c r="A7" s="77" t="str">
        <x:f>IF(D7="","",ROW()-4)</x:f>
      </x:c>
      <x:c r="B7" s="78" t="str">
        <x:f>IF(D7="","","待配置")</x:f>
      </x:c>
      <x:c r="C7" s="79"/>
      <x:c r="D7" s="86"/>
      <x:c r="E7" s="86"/>
      <x:c r="F7" s="86"/>
      <x:c r="G7" s="86"/>
      <x:c r="H7" s="86"/>
      <x:c r="I7" s="87"/>
      <x:c r="J7" s="87"/>
      <x:c r="K7" s="87"/>
      <x:c r="L7" s="87"/>
      <x:c r="M7" s="87"/>
      <x:c r="N7" s="93"/>
    </x:row>
    <x:row r="8" ht="28" customHeight="1">
      <x:c r="A8" s="77" t="str">
        <x:f>IF(D8="","",ROW()-4)</x:f>
      </x:c>
      <x:c r="B8" s="78" t="str">
        <x:f>IF(D8="","","待配置")</x:f>
      </x:c>
      <x:c r="C8" s="79"/>
      <x:c r="D8" s="86"/>
      <x:c r="E8" s="86"/>
      <x:c r="F8" s="86"/>
      <x:c r="G8" s="86"/>
      <x:c r="H8" s="86"/>
      <x:c r="I8" s="87"/>
      <x:c r="J8" s="87"/>
      <x:c r="K8" s="87"/>
      <x:c r="L8" s="87"/>
      <x:c r="M8" s="87"/>
      <x:c r="N8" s="93"/>
    </x:row>
    <x:row r="9" ht="28" customHeight="1">
      <x:c r="A9" s="77" t="str">
        <x:f>IF(D9="","",ROW()-4)</x:f>
      </x:c>
      <x:c r="B9" s="78" t="str">
        <x:f>IF(D9="","","待配置")</x:f>
      </x:c>
      <x:c r="C9" s="79"/>
      <x:c r="D9" s="86"/>
      <x:c r="E9" s="86"/>
      <x:c r="F9" s="86"/>
      <x:c r="G9" s="86"/>
      <x:c r="H9" s="86"/>
      <x:c r="I9" s="87"/>
      <x:c r="J9" s="87"/>
      <x:c r="K9" s="87"/>
      <x:c r="L9" s="87"/>
      <x:c r="M9" s="87"/>
      <x:c r="N9" s="93"/>
    </x:row>
    <x:row r="10" ht="28" customHeight="1">
      <x:c r="A10" s="77" t="str">
        <x:f>IF(D10="","",ROW()-4)</x:f>
      </x:c>
      <x:c r="B10" s="78" t="str">
        <x:f>IF(D10="","","待配置")</x:f>
      </x:c>
      <x:c r="C10" s="79"/>
      <x:c r="D10" s="86"/>
      <x:c r="E10" s="86"/>
      <x:c r="F10" s="86"/>
      <x:c r="G10" s="86"/>
      <x:c r="H10" s="86"/>
      <x:c r="I10" s="87"/>
      <x:c r="J10" s="87"/>
      <x:c r="K10" s="87"/>
      <x:c r="L10" s="87"/>
      <x:c r="M10" s="87"/>
      <x:c r="N10" s="93"/>
    </x:row>
    <x:row r="11" ht="28" customHeight="1">
      <x:c r="A11" s="77" t="str">
        <x:f>IF(D11="","",ROW()-4)</x:f>
      </x:c>
      <x:c r="B11" s="78" t="str">
        <x:f>IF(D11="","","待配置")</x:f>
      </x:c>
      <x:c r="C11" s="79"/>
      <x:c r="D11" s="86"/>
      <x:c r="E11" s="86"/>
      <x:c r="F11" s="86"/>
      <x:c r="G11" s="86"/>
      <x:c r="H11" s="86"/>
      <x:c r="I11" s="87"/>
      <x:c r="J11" s="87"/>
      <x:c r="K11" s="87"/>
      <x:c r="L11" s="87"/>
      <x:c r="M11" s="87"/>
      <x:c r="N11" s="93"/>
    </x:row>
    <x:row r="12" ht="28" customHeight="1">
      <x:c r="A12" s="77" t="str">
        <x:f>IF(D12="","",ROW()-4)</x:f>
      </x:c>
      <x:c r="B12" s="78" t="str">
        <x:f>IF(D12="","","待配置")</x:f>
      </x:c>
      <x:c r="C12" s="79"/>
      <x:c r="D12" s="86"/>
      <x:c r="E12" s="86"/>
      <x:c r="F12" s="86"/>
      <x:c r="G12" s="86"/>
      <x:c r="H12" s="86"/>
      <x:c r="I12" s="87"/>
      <x:c r="J12" s="87"/>
      <x:c r="K12" s="87"/>
      <x:c r="L12" s="87"/>
      <x:c r="M12" s="87"/>
      <x:c r="N12" s="93"/>
    </x:row>
    <x:row r="13" ht="28" customHeight="1">
      <x:c r="A13" s="77" t="str">
        <x:f>IF(D13="","",ROW()-4)</x:f>
      </x:c>
      <x:c r="B13" s="78" t="str">
        <x:f>IF(D13="","","待配置")</x:f>
      </x:c>
      <x:c r="C13" s="79"/>
      <x:c r="D13" s="86"/>
      <x:c r="E13" s="86"/>
      <x:c r="F13" s="86"/>
      <x:c r="G13" s="86"/>
      <x:c r="H13" s="86"/>
      <x:c r="I13" s="87"/>
      <x:c r="J13" s="87"/>
      <x:c r="K13" s="87"/>
      <x:c r="L13" s="87"/>
      <x:c r="M13" s="87"/>
      <x:c r="N13" s="93"/>
    </x:row>
    <x:row r="14" ht="28" customHeight="1">
      <x:c r="A14" s="77" t="str">
        <x:f>IF(D14="","",ROW()-4)</x:f>
      </x:c>
      <x:c r="B14" s="78" t="str">
        <x:f>IF(D14="","","待配置")</x:f>
      </x:c>
      <x:c r="C14" s="79"/>
      <x:c r="D14" s="86"/>
      <x:c r="E14" s="86"/>
      <x:c r="F14" s="86"/>
      <x:c r="G14" s="86"/>
      <x:c r="H14" s="86"/>
      <x:c r="I14" s="87"/>
      <x:c r="J14" s="87"/>
      <x:c r="K14" s="87"/>
      <x:c r="L14" s="87"/>
      <x:c r="M14" s="87"/>
      <x:c r="N14" s="93"/>
    </x:row>
    <x:row r="15" ht="28" customHeight="1">
      <x:c r="A15" s="77" t="str">
        <x:f>IF(D15="","",ROW()-4)</x:f>
      </x:c>
      <x:c r="B15" s="78" t="str">
        <x:f>IF(D15="","","待配置")</x:f>
      </x:c>
      <x:c r="C15" s="79"/>
      <x:c r="D15" s="86"/>
      <x:c r="E15" s="86"/>
      <x:c r="F15" s="86"/>
      <x:c r="G15" s="86"/>
      <x:c r="H15" s="86"/>
      <x:c r="I15" s="87"/>
      <x:c r="J15" s="87"/>
      <x:c r="K15" s="87"/>
      <x:c r="L15" s="87"/>
      <x:c r="M15" s="87"/>
      <x:c r="N15" s="93"/>
    </x:row>
    <x:row r="16" ht="28" customHeight="1">
      <x:c r="A16" s="77" t="str">
        <x:f>IF(D16="","",ROW()-4)</x:f>
      </x:c>
      <x:c r="B16" s="78" t="str">
        <x:f>IF(D16="","","待配置")</x:f>
      </x:c>
      <x:c r="C16" s="79"/>
      <x:c r="D16" s="86"/>
      <x:c r="E16" s="86"/>
      <x:c r="F16" s="86"/>
      <x:c r="G16" s="86"/>
      <x:c r="H16" s="86"/>
      <x:c r="I16" s="87"/>
      <x:c r="J16" s="87"/>
      <x:c r="K16" s="87"/>
      <x:c r="L16" s="87"/>
      <x:c r="M16" s="87"/>
      <x:c r="N16" s="93"/>
    </x:row>
    <x:row r="17" ht="28" customHeight="1">
      <x:c r="A17" s="77" t="str">
        <x:f>IF(D17="","",ROW()-4)</x:f>
      </x:c>
      <x:c r="B17" s="78" t="str">
        <x:f>IF(D17="","","待配置")</x:f>
      </x:c>
      <x:c r="C17" s="79"/>
      <x:c r="D17" s="86"/>
      <x:c r="E17" s="86"/>
      <x:c r="F17" s="86"/>
      <x:c r="G17" s="86"/>
      <x:c r="H17" s="86"/>
      <x:c r="I17" s="87"/>
      <x:c r="J17" s="87"/>
      <x:c r="K17" s="87"/>
      <x:c r="L17" s="87"/>
      <x:c r="M17" s="87"/>
      <x:c r="N17" s="93"/>
    </x:row>
    <x:row r="18" ht="28" customHeight="1">
      <x:c r="A18" s="77" t="str">
        <x:f>IF(D18="","",ROW()-4)</x:f>
      </x:c>
      <x:c r="B18" s="78" t="str">
        <x:f>IF(D18="","","待配置")</x:f>
      </x:c>
      <x:c r="C18" s="79"/>
      <x:c r="D18" s="86"/>
      <x:c r="E18" s="86"/>
      <x:c r="F18" s="86"/>
      <x:c r="G18" s="86"/>
      <x:c r="H18" s="86"/>
      <x:c r="I18" s="87"/>
      <x:c r="J18" s="87"/>
      <x:c r="K18" s="87"/>
      <x:c r="L18" s="87"/>
      <x:c r="M18" s="87"/>
      <x:c r="N18" s="93"/>
    </x:row>
    <x:row r="19" ht="28" customHeight="1">
      <x:c r="A19" s="77" t="str">
        <x:f>IF(D19="","",ROW()-4)</x:f>
      </x:c>
      <x:c r="B19" s="78" t="str">
        <x:f>IF(D19="","","待配置")</x:f>
      </x:c>
      <x:c r="C19" s="79"/>
      <x:c r="D19" s="86"/>
      <x:c r="E19" s="86"/>
      <x:c r="F19" s="86"/>
      <x:c r="G19" s="86"/>
      <x:c r="H19" s="86"/>
      <x:c r="I19" s="87"/>
      <x:c r="J19" s="87"/>
      <x:c r="K19" s="87"/>
      <x:c r="L19" s="87"/>
      <x:c r="M19" s="87"/>
      <x:c r="N19" s="93"/>
    </x:row>
    <x:row r="20" ht="28" customHeight="1">
      <x:c r="A20" s="77" t="str">
        <x:f>IF(D20="","",ROW()-4)</x:f>
      </x:c>
      <x:c r="B20" s="78" t="str">
        <x:f>IF(D20="","","待配置")</x:f>
      </x:c>
      <x:c r="C20" s="79"/>
      <x:c r="D20" s="86"/>
      <x:c r="E20" s="86"/>
      <x:c r="F20" s="86"/>
      <x:c r="G20" s="86"/>
      <x:c r="H20" s="86"/>
      <x:c r="I20" s="87"/>
      <x:c r="J20" s="87"/>
      <x:c r="K20" s="87"/>
      <x:c r="L20" s="87"/>
      <x:c r="M20" s="87"/>
      <x:c r="N20" s="93"/>
    </x:row>
    <x:row r="21" ht="28" customHeight="1">
      <x:c r="A21" s="77" t="str">
        <x:f>IF(D21="","",ROW()-4)</x:f>
      </x:c>
      <x:c r="B21" s="78" t="str">
        <x:f>IF(D21="","","待配置")</x:f>
      </x:c>
      <x:c r="C21" s="79"/>
      <x:c r="D21" s="86"/>
      <x:c r="E21" s="86"/>
      <x:c r="F21" s="86"/>
      <x:c r="G21" s="86"/>
      <x:c r="H21" s="86"/>
      <x:c r="I21" s="87"/>
      <x:c r="J21" s="87"/>
      <x:c r="K21" s="87"/>
      <x:c r="L21" s="87"/>
      <x:c r="M21" s="87"/>
      <x:c r="N21" s="93"/>
    </x:row>
    <x:row r="22" ht="28" customHeight="1">
      <x:c r="A22" s="77" t="str">
        <x:f>IF(D22="","",ROW()-4)</x:f>
      </x:c>
      <x:c r="B22" s="78" t="str">
        <x:f>IF(D22="","","待配置")</x:f>
      </x:c>
      <x:c r="C22" s="79"/>
      <x:c r="D22" s="86"/>
      <x:c r="E22" s="86"/>
      <x:c r="F22" s="86"/>
      <x:c r="G22" s="86"/>
      <x:c r="H22" s="86"/>
      <x:c r="I22" s="87"/>
      <x:c r="J22" s="87"/>
      <x:c r="K22" s="87"/>
      <x:c r="L22" s="87"/>
      <x:c r="M22" s="87"/>
      <x:c r="N22" s="93"/>
    </x:row>
    <x:row r="23" ht="28" customHeight="1">
      <x:c r="A23" s="77" t="str">
        <x:f>IF(D23="","",ROW()-4)</x:f>
      </x:c>
      <x:c r="B23" s="78" t="str">
        <x:f>IF(D23="","","待配置")</x:f>
      </x:c>
      <x:c r="C23" s="79"/>
      <x:c r="D23" s="86"/>
      <x:c r="E23" s="86"/>
      <x:c r="F23" s="86"/>
      <x:c r="G23" s="86"/>
      <x:c r="H23" s="86"/>
      <x:c r="I23" s="87"/>
      <x:c r="J23" s="87"/>
      <x:c r="K23" s="87"/>
      <x:c r="L23" s="87"/>
      <x:c r="M23" s="87"/>
      <x:c r="N23" s="93"/>
    </x:row>
    <x:row r="24" ht="28" customHeight="1">
      <x:c r="A24" s="77" t="str">
        <x:f>IF(D24="","",ROW()-4)</x:f>
      </x:c>
      <x:c r="B24" s="78" t="str">
        <x:f>IF(D24="","","待配置")</x:f>
      </x:c>
      <x:c r="C24" s="79"/>
      <x:c r="D24" s="86"/>
      <x:c r="E24" s="86"/>
      <x:c r="F24" s="86"/>
      <x:c r="G24" s="86"/>
      <x:c r="H24" s="86"/>
      <x:c r="I24" s="87"/>
      <x:c r="J24" s="87"/>
      <x:c r="K24" s="87"/>
      <x:c r="L24" s="87"/>
      <x:c r="M24" s="87"/>
      <x:c r="N24" s="93"/>
    </x:row>
    <x:row r="25" ht="28" customHeight="1">
      <x:c r="A25" s="77" t="str">
        <x:f>IF(D25="","",ROW()-4)</x:f>
      </x:c>
      <x:c r="B25" s="78" t="str">
        <x:f>IF(D25="","","待配置")</x:f>
      </x:c>
      <x:c r="C25" s="79"/>
      <x:c r="D25" s="86"/>
      <x:c r="E25" s="86"/>
      <x:c r="F25" s="86"/>
      <x:c r="G25" s="86"/>
      <x:c r="H25" s="86"/>
      <x:c r="I25" s="87"/>
      <x:c r="J25" s="87"/>
      <x:c r="K25" s="87"/>
      <x:c r="L25" s="87"/>
      <x:c r="M25" s="87"/>
      <x:c r="N25" s="93"/>
    </x:row>
    <x:row r="26" ht="28" customHeight="1">
      <x:c r="A26" s="77" t="str">
        <x:f>IF(D26="","",ROW()-4)</x:f>
      </x:c>
      <x:c r="B26" s="78" t="str">
        <x:f>IF(D26="","","待配置")</x:f>
      </x:c>
      <x:c r="C26" s="79"/>
      <x:c r="D26" s="86"/>
      <x:c r="E26" s="86"/>
      <x:c r="F26" s="86"/>
      <x:c r="G26" s="86"/>
      <x:c r="H26" s="86"/>
      <x:c r="I26" s="87"/>
      <x:c r="J26" s="87"/>
      <x:c r="K26" s="87"/>
      <x:c r="L26" s="87"/>
      <x:c r="M26" s="87"/>
      <x:c r="N26" s="93"/>
    </x:row>
    <x:row r="27" ht="28" customHeight="1">
      <x:c r="A27" s="77" t="str">
        <x:f>IF(D27="","",ROW()-4)</x:f>
      </x:c>
      <x:c r="B27" s="78" t="str">
        <x:f>IF(D27="","","待配置")</x:f>
      </x:c>
      <x:c r="C27" s="79"/>
      <x:c r="D27" s="86"/>
      <x:c r="E27" s="86"/>
      <x:c r="F27" s="86"/>
      <x:c r="G27" s="86"/>
      <x:c r="H27" s="86"/>
      <x:c r="I27" s="87"/>
      <x:c r="J27" s="87"/>
      <x:c r="K27" s="87"/>
      <x:c r="L27" s="87"/>
      <x:c r="M27" s="87"/>
      <x:c r="N27" s="93"/>
    </x:row>
    <x:row r="28" ht="28" customHeight="1">
      <x:c r="A28" s="77" t="str">
        <x:f>IF(D28="","",ROW()-4)</x:f>
      </x:c>
      <x:c r="B28" s="78" t="str">
        <x:f>IF(D28="","","待配置")</x:f>
      </x:c>
      <x:c r="C28" s="79"/>
      <x:c r="D28" s="86"/>
      <x:c r="E28" s="86"/>
      <x:c r="F28" s="86"/>
      <x:c r="G28" s="86"/>
      <x:c r="H28" s="86"/>
      <x:c r="I28" s="87"/>
      <x:c r="J28" s="87"/>
      <x:c r="K28" s="87"/>
      <x:c r="L28" s="87"/>
      <x:c r="M28" s="87"/>
      <x:c r="N28" s="93"/>
    </x:row>
    <x:row r="29" ht="28" customHeight="1">
      <x:c r="A29" s="77" t="str">
        <x:f>IF(D29="","",ROW()-4)</x:f>
      </x:c>
      <x:c r="B29" s="78" t="str">
        <x:f>IF(D29="","","待配置")</x:f>
      </x:c>
      <x:c r="C29" s="79"/>
      <x:c r="D29" s="86"/>
      <x:c r="E29" s="86"/>
      <x:c r="F29" s="86"/>
      <x:c r="G29" s="86"/>
      <x:c r="H29" s="86"/>
      <x:c r="I29" s="87"/>
      <x:c r="J29" s="87"/>
      <x:c r="K29" s="87"/>
      <x:c r="L29" s="87"/>
      <x:c r="M29" s="87"/>
      <x:c r="N29" s="93"/>
    </x:row>
    <x:row r="30" ht="28" customHeight="1">
      <x:c r="A30" s="77" t="str">
        <x:f>IF(D30="","",ROW()-4)</x:f>
      </x:c>
      <x:c r="B30" s="78" t="str">
        <x:f>IF(D30="","","待配置")</x:f>
      </x:c>
      <x:c r="C30" s="79"/>
      <x:c r="D30" s="86"/>
      <x:c r="E30" s="86"/>
      <x:c r="F30" s="86"/>
      <x:c r="G30" s="86"/>
      <x:c r="H30" s="86"/>
      <x:c r="I30" s="87"/>
      <x:c r="J30" s="87"/>
      <x:c r="K30" s="87"/>
      <x:c r="L30" s="87"/>
      <x:c r="M30" s="87"/>
      <x:c r="N30" s="93"/>
    </x:row>
    <x:row r="31" ht="28" customHeight="1">
      <x:c r="A31" s="77" t="str">
        <x:f>IF(D31="","",ROW()-4)</x:f>
      </x:c>
      <x:c r="B31" s="78" t="str">
        <x:f>IF(D31="","","待配置")</x:f>
      </x:c>
      <x:c r="C31" s="79"/>
      <x:c r="D31" s="86"/>
      <x:c r="E31" s="86"/>
      <x:c r="F31" s="86"/>
      <x:c r="G31" s="86"/>
      <x:c r="H31" s="86"/>
      <x:c r="I31" s="87"/>
      <x:c r="J31" s="87"/>
      <x:c r="K31" s="87"/>
      <x:c r="L31" s="87"/>
      <x:c r="M31" s="87"/>
      <x:c r="N31" s="93"/>
    </x:row>
    <x:row r="32" ht="28" customHeight="1">
      <x:c r="A32" s="77" t="str">
        <x:f>IF(D32="","",ROW()-4)</x:f>
      </x:c>
      <x:c r="B32" s="78" t="str">
        <x:f>IF(D32="","","待配置")</x:f>
      </x:c>
      <x:c r="C32" s="79"/>
      <x:c r="D32" s="86"/>
      <x:c r="E32" s="86"/>
      <x:c r="F32" s="86"/>
      <x:c r="G32" s="86"/>
      <x:c r="H32" s="86"/>
      <x:c r="I32" s="87"/>
      <x:c r="J32" s="87"/>
      <x:c r="K32" s="87"/>
      <x:c r="L32" s="87"/>
      <x:c r="M32" s="87"/>
      <x:c r="N32" s="93"/>
    </x:row>
    <x:row r="33" ht="28" customHeight="1">
      <x:c r="A33" s="77" t="str">
        <x:f>IF(D33="","",ROW()-4)</x:f>
      </x:c>
      <x:c r="B33" s="78" t="str">
        <x:f>IF(D33="","","待配置")</x:f>
      </x:c>
      <x:c r="C33" s="79"/>
      <x:c r="D33" s="86"/>
      <x:c r="E33" s="86"/>
      <x:c r="F33" s="86"/>
      <x:c r="G33" s="86"/>
      <x:c r="H33" s="86"/>
      <x:c r="I33" s="87"/>
      <x:c r="J33" s="87"/>
      <x:c r="K33" s="87"/>
      <x:c r="L33" s="87"/>
      <x:c r="M33" s="87"/>
      <x:c r="N33" s="93"/>
    </x:row>
    <x:row r="34" ht="28" customHeight="1">
      <x:c r="A34" s="77" t="str">
        <x:f>IF(D34="","",ROW()-4)</x:f>
      </x:c>
      <x:c r="B34" s="78" t="str">
        <x:f>IF(D34="","","待配置")</x:f>
      </x:c>
      <x:c r="C34" s="79"/>
      <x:c r="D34" s="86"/>
      <x:c r="E34" s="86"/>
      <x:c r="F34" s="86"/>
      <x:c r="G34" s="86"/>
      <x:c r="H34" s="86"/>
      <x:c r="I34" s="87"/>
      <x:c r="J34" s="87"/>
      <x:c r="K34" s="87"/>
      <x:c r="L34" s="87"/>
      <x:c r="M34" s="87"/>
      <x:c r="N34" s="93"/>
    </x:row>
    <x:row r="35" ht="28" customHeight="1">
      <x:c r="A35" s="77" t="str">
        <x:f>IF(D35="","",ROW()-4)</x:f>
      </x:c>
      <x:c r="B35" s="78" t="str">
        <x:f>IF(D35="","","待配置")</x:f>
      </x:c>
      <x:c r="C35" s="79"/>
      <x:c r="D35" s="86"/>
      <x:c r="E35" s="86"/>
      <x:c r="F35" s="86"/>
      <x:c r="G35" s="86"/>
      <x:c r="H35" s="86"/>
      <x:c r="I35" s="87"/>
      <x:c r="J35" s="87"/>
      <x:c r="K35" s="87"/>
      <x:c r="L35" s="87"/>
      <x:c r="M35" s="87"/>
      <x:c r="N35" s="93"/>
    </x:row>
    <x:row r="36" ht="28" customHeight="1">
      <x:c r="A36" s="77" t="str">
        <x:f>IF(D36="","",ROW()-4)</x:f>
      </x:c>
      <x:c r="B36" s="78" t="str">
        <x:f>IF(D36="","","待配置")</x:f>
      </x:c>
      <x:c r="C36" s="79"/>
      <x:c r="D36" s="86"/>
      <x:c r="E36" s="86"/>
      <x:c r="F36" s="86"/>
      <x:c r="G36" s="86"/>
      <x:c r="H36" s="86"/>
      <x:c r="I36" s="87"/>
      <x:c r="J36" s="87"/>
      <x:c r="K36" s="87"/>
      <x:c r="L36" s="87"/>
      <x:c r="M36" s="87"/>
      <x:c r="N36" s="93"/>
    </x:row>
    <x:row r="37" ht="28" customHeight="1">
      <x:c r="A37" s="77" t="str">
        <x:f>IF(D37="","",ROW()-4)</x:f>
      </x:c>
      <x:c r="B37" s="78" t="str">
        <x:f>IF(D37="","","待配置")</x:f>
      </x:c>
      <x:c r="C37" s="79"/>
      <x:c r="D37" s="86"/>
      <x:c r="E37" s="86"/>
      <x:c r="F37" s="86"/>
      <x:c r="G37" s="86"/>
      <x:c r="H37" s="86"/>
      <x:c r="I37" s="87"/>
      <x:c r="J37" s="87"/>
      <x:c r="K37" s="87"/>
      <x:c r="L37" s="87"/>
      <x:c r="M37" s="87"/>
      <x:c r="N37" s="93"/>
    </x:row>
    <x:row r="38" ht="28" customHeight="1">
      <x:c r="A38" s="77" t="str">
        <x:f>IF(D38="","",ROW()-4)</x:f>
      </x:c>
      <x:c r="B38" s="78" t="str">
        <x:f>IF(D38="","","待配置")</x:f>
      </x:c>
      <x:c r="C38" s="79"/>
      <x:c r="D38" s="86"/>
      <x:c r="E38" s="86"/>
      <x:c r="F38" s="86"/>
      <x:c r="G38" s="86"/>
      <x:c r="H38" s="86"/>
      <x:c r="I38" s="87"/>
      <x:c r="J38" s="87"/>
      <x:c r="K38" s="87"/>
      <x:c r="L38" s="87"/>
      <x:c r="M38" s="87"/>
      <x:c r="N38" s="93"/>
    </x:row>
    <x:row r="39" ht="28" customHeight="1">
      <x:c r="A39" s="77" t="str">
        <x:f>IF(D39="","",ROW()-4)</x:f>
      </x:c>
      <x:c r="B39" s="78" t="str">
        <x:f>IF(D39="","","待配置")</x:f>
      </x:c>
      <x:c r="C39" s="79"/>
      <x:c r="D39" s="86"/>
      <x:c r="E39" s="86"/>
      <x:c r="F39" s="86"/>
      <x:c r="G39" s="86"/>
      <x:c r="H39" s="86"/>
      <x:c r="I39" s="87"/>
      <x:c r="J39" s="87"/>
      <x:c r="K39" s="87"/>
      <x:c r="L39" s="87"/>
      <x:c r="M39" s="87"/>
      <x:c r="N39" s="93"/>
    </x:row>
    <x:row r="40" ht="28" customHeight="1">
      <x:c r="A40" s="77" t="str">
        <x:f>IF(D40="","",ROW()-4)</x:f>
      </x:c>
      <x:c r="B40" s="78" t="str">
        <x:f>IF(D40="","","待配置")</x:f>
      </x:c>
      <x:c r="C40" s="79"/>
      <x:c r="D40" s="86"/>
      <x:c r="E40" s="86"/>
      <x:c r="F40" s="86"/>
      <x:c r="G40" s="86"/>
      <x:c r="H40" s="86"/>
      <x:c r="I40" s="87"/>
      <x:c r="J40" s="87"/>
      <x:c r="K40" s="87"/>
      <x:c r="L40" s="87"/>
      <x:c r="M40" s="87"/>
      <x:c r="N40" s="93"/>
    </x:row>
    <x:row r="41" ht="28" customHeight="1">
      <x:c r="A41" s="77" t="str">
        <x:f>IF(D41="","",ROW()-4)</x:f>
      </x:c>
      <x:c r="B41" s="78" t="str">
        <x:f>IF(D41="","","待配置")</x:f>
      </x:c>
      <x:c r="C41" s="79"/>
      <x:c r="D41" s="86"/>
      <x:c r="E41" s="86"/>
      <x:c r="F41" s="86"/>
      <x:c r="G41" s="86"/>
      <x:c r="H41" s="86"/>
      <x:c r="I41" s="87"/>
      <x:c r="J41" s="87"/>
      <x:c r="K41" s="87"/>
      <x:c r="L41" s="87"/>
      <x:c r="M41" s="87"/>
      <x:c r="N41" s="93"/>
    </x:row>
    <x:row r="42" ht="28" customHeight="1">
      <x:c r="A42" s="77" t="str">
        <x:f>IF(D42="","",ROW()-4)</x:f>
      </x:c>
      <x:c r="B42" s="78" t="str">
        <x:f>IF(D42="","","待配置")</x:f>
      </x:c>
      <x:c r="C42" s="79"/>
      <x:c r="D42" s="86"/>
      <x:c r="E42" s="86"/>
      <x:c r="F42" s="86"/>
      <x:c r="G42" s="86"/>
      <x:c r="H42" s="86"/>
      <x:c r="I42" s="87"/>
      <x:c r="J42" s="87"/>
      <x:c r="K42" s="87"/>
      <x:c r="L42" s="87"/>
      <x:c r="M42" s="87"/>
      <x:c r="N42" s="93"/>
    </x:row>
    <x:row r="43" ht="28" customHeight="1">
      <x:c r="A43" s="77" t="str">
        <x:f>IF(D43="","",ROW()-4)</x:f>
      </x:c>
      <x:c r="B43" s="78" t="str">
        <x:f>IF(D43="","","待配置")</x:f>
      </x:c>
      <x:c r="C43" s="79"/>
      <x:c r="D43" s="86"/>
      <x:c r="E43" s="86"/>
      <x:c r="F43" s="86"/>
      <x:c r="G43" s="86"/>
      <x:c r="H43" s="86"/>
      <x:c r="I43" s="87"/>
      <x:c r="J43" s="87"/>
      <x:c r="K43" s="87"/>
      <x:c r="L43" s="87"/>
      <x:c r="M43" s="87"/>
      <x:c r="N43" s="93"/>
    </x:row>
    <x:row r="44" ht="28" customHeight="1">
      <x:c r="A44" s="77" t="str">
        <x:f>IF(D44="","",ROW()-4)</x:f>
      </x:c>
      <x:c r="B44" s="78" t="str">
        <x:f>IF(D44="","","待配置")</x:f>
      </x:c>
      <x:c r="C44" s="79"/>
      <x:c r="D44" s="86"/>
      <x:c r="E44" s="86"/>
      <x:c r="F44" s="86"/>
      <x:c r="G44" s="86"/>
      <x:c r="H44" s="86"/>
      <x:c r="I44" s="87"/>
      <x:c r="J44" s="87"/>
      <x:c r="K44" s="87"/>
      <x:c r="L44" s="87"/>
      <x:c r="M44" s="87"/>
      <x:c r="N44" s="93"/>
    </x:row>
    <x:row r="45" ht="28" customHeight="1">
      <x:c r="A45" s="77" t="str">
        <x:f>IF(D45="","",ROW()-4)</x:f>
      </x:c>
      <x:c r="B45" s="78" t="str">
        <x:f>IF(D45="","","待配置")</x:f>
      </x:c>
      <x:c r="C45" s="79"/>
      <x:c r="D45" s="86"/>
      <x:c r="E45" s="86"/>
      <x:c r="F45" s="86"/>
      <x:c r="G45" s="86"/>
      <x:c r="H45" s="86"/>
      <x:c r="I45" s="87"/>
      <x:c r="J45" s="87"/>
      <x:c r="K45" s="87"/>
      <x:c r="L45" s="87"/>
      <x:c r="M45" s="87"/>
      <x:c r="N45" s="93"/>
    </x:row>
    <x:row r="46" ht="28" customHeight="1">
      <x:c r="A46" s="77" t="str">
        <x:f>IF(D46="","",ROW()-4)</x:f>
      </x:c>
      <x:c r="B46" s="78" t="str">
        <x:f>IF(D46="","","待配置")</x:f>
      </x:c>
      <x:c r="C46" s="79"/>
      <x:c r="D46" s="86"/>
      <x:c r="E46" s="86"/>
      <x:c r="F46" s="86"/>
      <x:c r="G46" s="86"/>
      <x:c r="H46" s="86"/>
      <x:c r="I46" s="87"/>
      <x:c r="J46" s="87"/>
      <x:c r="K46" s="87"/>
      <x:c r="L46" s="87"/>
      <x:c r="M46" s="87"/>
      <x:c r="N46" s="93"/>
    </x:row>
    <x:row r="47" ht="28" customHeight="1">
      <x:c r="A47" s="77" t="str">
        <x:f>IF(D47="","",ROW()-4)</x:f>
      </x:c>
      <x:c r="B47" s="78" t="str">
        <x:f>IF(D47="","","待配置")</x:f>
      </x:c>
      <x:c r="C47" s="79"/>
      <x:c r="D47" s="86"/>
      <x:c r="E47" s="86"/>
      <x:c r="F47" s="86"/>
      <x:c r="G47" s="86"/>
      <x:c r="H47" s="86"/>
      <x:c r="I47" s="87"/>
      <x:c r="J47" s="87"/>
      <x:c r="K47" s="87"/>
      <x:c r="L47" s="87"/>
      <x:c r="M47" s="87"/>
      <x:c r="N47" s="93"/>
    </x:row>
    <x:row r="48" ht="28" customHeight="1">
      <x:c r="A48" s="77" t="str">
        <x:f>IF(D48="","",ROW()-4)</x:f>
      </x:c>
      <x:c r="B48" s="78" t="str">
        <x:f>IF(D48="","","待配置")</x:f>
      </x:c>
      <x:c r="C48" s="79"/>
      <x:c r="D48" s="86"/>
      <x:c r="E48" s="86"/>
      <x:c r="F48" s="86"/>
      <x:c r="G48" s="86"/>
      <x:c r="H48" s="86"/>
      <x:c r="I48" s="87"/>
      <x:c r="J48" s="87"/>
      <x:c r="K48" s="87"/>
      <x:c r="L48" s="87"/>
      <x:c r="M48" s="87"/>
      <x:c r="N48" s="93"/>
    </x:row>
    <x:row r="49" ht="28" customHeight="1">
      <x:c r="A49" s="77" t="str">
        <x:f>IF(D49="","",ROW()-4)</x:f>
      </x:c>
      <x:c r="B49" s="78" t="str">
        <x:f>IF(D49="","","待配置")</x:f>
      </x:c>
      <x:c r="C49" s="79"/>
      <x:c r="D49" s="86"/>
      <x:c r="E49" s="86"/>
      <x:c r="F49" s="86"/>
      <x:c r="G49" s="86"/>
      <x:c r="H49" s="86"/>
      <x:c r="I49" s="87"/>
      <x:c r="J49" s="87"/>
      <x:c r="K49" s="87"/>
      <x:c r="L49" s="87"/>
      <x:c r="M49" s="87"/>
      <x:c r="N49" s="93"/>
    </x:row>
    <x:row r="50" ht="28" customHeight="1">
      <x:c r="A50" s="77" t="str">
        <x:f>IF(D50="","",ROW()-4)</x:f>
      </x:c>
      <x:c r="B50" s="78" t="str">
        <x:f>IF(D50="","","待配置")</x:f>
      </x:c>
      <x:c r="C50" s="79"/>
      <x:c r="D50" s="86"/>
      <x:c r="E50" s="86"/>
      <x:c r="F50" s="86"/>
      <x:c r="G50" s="86"/>
      <x:c r="H50" s="86"/>
      <x:c r="I50" s="87"/>
      <x:c r="J50" s="87"/>
      <x:c r="K50" s="87"/>
      <x:c r="L50" s="87"/>
      <x:c r="M50" s="87"/>
      <x:c r="N50" s="93"/>
    </x:row>
    <x:row r="51" ht="28" customHeight="1">
      <x:c r="A51" s="77" t="str">
        <x:f>IF(D51="","",ROW()-4)</x:f>
      </x:c>
      <x:c r="B51" s="78" t="str">
        <x:f>IF(D51="","","待配置")</x:f>
      </x:c>
      <x:c r="C51" s="79"/>
      <x:c r="D51" s="86"/>
      <x:c r="E51" s="86"/>
      <x:c r="F51" s="86"/>
      <x:c r="G51" s="86"/>
      <x:c r="H51" s="86"/>
      <x:c r="I51" s="87"/>
      <x:c r="J51" s="87"/>
      <x:c r="K51" s="87"/>
      <x:c r="L51" s="87"/>
      <x:c r="M51" s="87"/>
      <x:c r="N51" s="93"/>
    </x:row>
    <x:row r="52" ht="28" customHeight="1">
      <x:c r="A52" s="77" t="str">
        <x:f>IF(D52="","",ROW()-4)</x:f>
      </x:c>
      <x:c r="B52" s="78" t="str">
        <x:f>IF(D52="","","待配置")</x:f>
      </x:c>
      <x:c r="C52" s="79"/>
      <x:c r="D52" s="86"/>
      <x:c r="E52" s="86"/>
      <x:c r="F52" s="86"/>
      <x:c r="G52" s="86"/>
      <x:c r="H52" s="86"/>
      <x:c r="I52" s="87"/>
      <x:c r="J52" s="87"/>
      <x:c r="K52" s="87"/>
      <x:c r="L52" s="87"/>
      <x:c r="M52" s="87"/>
      <x:c r="N52" s="93"/>
    </x:row>
    <x:row r="53" ht="28" customHeight="1">
      <x:c r="A53" s="77" t="str">
        <x:f>IF(D53="","",ROW()-4)</x:f>
      </x:c>
      <x:c r="B53" s="78" t="str">
        <x:f>IF(D53="","","待配置")</x:f>
      </x:c>
      <x:c r="C53" s="79"/>
      <x:c r="D53" s="86"/>
      <x:c r="E53" s="86"/>
      <x:c r="F53" s="86"/>
      <x:c r="G53" s="86"/>
      <x:c r="H53" s="86"/>
      <x:c r="I53" s="87"/>
      <x:c r="J53" s="87"/>
      <x:c r="K53" s="87"/>
      <x:c r="L53" s="87"/>
      <x:c r="M53" s="87"/>
      <x:c r="N53" s="93"/>
    </x:row>
    <x:row r="54" ht="28" customHeight="1">
      <x:c r="A54" s="77" t="str">
        <x:f>IF(D54="","",ROW()-4)</x:f>
      </x:c>
      <x:c r="B54" s="78" t="str">
        <x:f>IF(D54="","","待配置")</x:f>
      </x:c>
      <x:c r="C54" s="79"/>
      <x:c r="D54" s="86"/>
      <x:c r="E54" s="86"/>
      <x:c r="F54" s="86"/>
      <x:c r="G54" s="86"/>
      <x:c r="H54" s="86"/>
      <x:c r="I54" s="87"/>
      <x:c r="J54" s="87"/>
      <x:c r="K54" s="87"/>
      <x:c r="L54" s="87"/>
      <x:c r="M54" s="87"/>
      <x:c r="N54" s="93"/>
    </x:row>
    <x:row r="55" ht="28" customHeight="1">
      <x:c r="A55" s="77" t="str">
        <x:f>IF(D55="","",ROW()-4)</x:f>
      </x:c>
      <x:c r="B55" s="78" t="str">
        <x:f>IF(D55="","","待配置")</x:f>
      </x:c>
      <x:c r="C55" s="79"/>
      <x:c r="D55" s="86"/>
      <x:c r="E55" s="86"/>
      <x:c r="F55" s="86"/>
      <x:c r="G55" s="86"/>
      <x:c r="H55" s="86"/>
      <x:c r="I55" s="87"/>
      <x:c r="J55" s="87"/>
      <x:c r="K55" s="87"/>
      <x:c r="L55" s="87"/>
      <x:c r="M55" s="87"/>
      <x:c r="N55" s="93"/>
    </x:row>
    <x:row r="56" ht="28" customHeight="1">
      <x:c r="A56" s="77" t="str">
        <x:f>IF(D56="","",ROW()-4)</x:f>
      </x:c>
      <x:c r="B56" s="78" t="str">
        <x:f>IF(D56="","","待配置")</x:f>
      </x:c>
      <x:c r="C56" s="79"/>
      <x:c r="D56" s="86"/>
      <x:c r="E56" s="86"/>
      <x:c r="F56" s="86"/>
      <x:c r="G56" s="86"/>
      <x:c r="H56" s="86"/>
      <x:c r="I56" s="87"/>
      <x:c r="J56" s="87"/>
      <x:c r="K56" s="87"/>
      <x:c r="L56" s="87"/>
      <x:c r="M56" s="87"/>
      <x:c r="N56" s="93"/>
    </x:row>
    <x:row r="57" ht="28" customHeight="1">
      <x:c r="A57" s="77" t="str">
        <x:f>IF(D57="","",ROW()-4)</x:f>
      </x:c>
      <x:c r="B57" s="78" t="str">
        <x:f>IF(D57="","","待配置")</x:f>
      </x:c>
      <x:c r="C57" s="79"/>
      <x:c r="D57" s="86"/>
      <x:c r="E57" s="86"/>
      <x:c r="F57" s="86"/>
      <x:c r="G57" s="86"/>
      <x:c r="H57" s="86"/>
      <x:c r="I57" s="87"/>
      <x:c r="J57" s="87"/>
      <x:c r="K57" s="87"/>
      <x:c r="L57" s="87"/>
      <x:c r="M57" s="87"/>
      <x:c r="N57" s="93"/>
    </x:row>
    <x:row r="58" ht="28" customHeight="1">
      <x:c r="A58" s="77" t="str">
        <x:f>IF(D58="","",ROW()-4)</x:f>
      </x:c>
      <x:c r="B58" s="78" t="str">
        <x:f>IF(D58="","","待配置")</x:f>
      </x:c>
      <x:c r="C58" s="79"/>
      <x:c r="D58" s="86"/>
      <x:c r="E58" s="86"/>
      <x:c r="F58" s="86"/>
      <x:c r="G58" s="86"/>
      <x:c r="H58" s="86"/>
      <x:c r="I58" s="87"/>
      <x:c r="J58" s="87"/>
      <x:c r="K58" s="87"/>
      <x:c r="L58" s="87"/>
      <x:c r="M58" s="87"/>
      <x:c r="N58" s="93"/>
    </x:row>
    <x:row r="59" ht="28" customHeight="1">
      <x:c r="A59" s="77" t="str">
        <x:f>IF(D59="","",ROW()-4)</x:f>
      </x:c>
      <x:c r="B59" s="78" t="str">
        <x:f>IF(D59="","","待配置")</x:f>
      </x:c>
      <x:c r="C59" s="79"/>
      <x:c r="D59" s="86"/>
      <x:c r="E59" s="86"/>
      <x:c r="F59" s="86"/>
      <x:c r="G59" s="86"/>
      <x:c r="H59" s="86"/>
      <x:c r="I59" s="87"/>
      <x:c r="J59" s="87"/>
      <x:c r="K59" s="87"/>
      <x:c r="L59" s="87"/>
      <x:c r="M59" s="87"/>
      <x:c r="N59" s="93"/>
    </x:row>
    <x:row r="60" ht="28" customHeight="1">
      <x:c r="A60" s="77" t="str">
        <x:f>IF(D60="","",ROW()-4)</x:f>
      </x:c>
      <x:c r="B60" s="78" t="str">
        <x:f>IF(D60="","","待配置")</x:f>
      </x:c>
      <x:c r="C60" s="79"/>
      <x:c r="D60" s="86"/>
      <x:c r="E60" s="86"/>
      <x:c r="F60" s="86"/>
      <x:c r="G60" s="86"/>
      <x:c r="H60" s="86"/>
      <x:c r="I60" s="87"/>
      <x:c r="J60" s="87"/>
      <x:c r="K60" s="87"/>
      <x:c r="L60" s="87"/>
      <x:c r="M60" s="87"/>
      <x:c r="N60" s="93"/>
    </x:row>
    <x:row r="61" ht="28" customHeight="1">
      <x:c r="A61" s="77" t="str">
        <x:f>IF(D61="","",ROW()-4)</x:f>
      </x:c>
      <x:c r="B61" s="78" t="str">
        <x:f>IF(D61="","","待配置")</x:f>
      </x:c>
      <x:c r="C61" s="79"/>
      <x:c r="D61" s="86"/>
      <x:c r="E61" s="86"/>
      <x:c r="F61" s="86"/>
      <x:c r="G61" s="86"/>
      <x:c r="H61" s="86"/>
      <x:c r="I61" s="87"/>
      <x:c r="J61" s="87"/>
      <x:c r="K61" s="87"/>
      <x:c r="L61" s="87"/>
      <x:c r="M61" s="87"/>
      <x:c r="N61" s="93"/>
    </x:row>
    <x:row r="62" ht="28" customHeight="1">
      <x:c r="A62" s="77" t="str">
        <x:f>IF(D62="","",ROW()-4)</x:f>
      </x:c>
      <x:c r="B62" s="78" t="str">
        <x:f>IF(D62="","","待配置")</x:f>
      </x:c>
      <x:c r="C62" s="79"/>
      <x:c r="D62" s="86"/>
      <x:c r="E62" s="86"/>
      <x:c r="F62" s="86"/>
      <x:c r="G62" s="86"/>
      <x:c r="H62" s="86"/>
      <x:c r="I62" s="87"/>
      <x:c r="J62" s="87"/>
      <x:c r="K62" s="87"/>
      <x:c r="L62" s="87"/>
      <x:c r="M62" s="87"/>
      <x:c r="N62" s="93"/>
    </x:row>
    <x:row r="63" ht="28" customHeight="1">
      <x:c r="A63" s="77" t="str">
        <x:f>IF(D63="","",ROW()-4)</x:f>
      </x:c>
      <x:c r="B63" s="78" t="str">
        <x:f>IF(D63="","","待配置")</x:f>
      </x:c>
      <x:c r="C63" s="79"/>
      <x:c r="D63" s="86"/>
      <x:c r="E63" s="86"/>
      <x:c r="F63" s="86"/>
      <x:c r="G63" s="86"/>
      <x:c r="H63" s="86"/>
      <x:c r="I63" s="87"/>
      <x:c r="J63" s="87"/>
      <x:c r="K63" s="87"/>
      <x:c r="L63" s="87"/>
      <x:c r="M63" s="87"/>
      <x:c r="N63" s="93"/>
    </x:row>
    <x:row r="64" ht="28" customHeight="1">
      <x:c r="A64" s="77" t="str">
        <x:f>IF(D64="","",ROW()-4)</x:f>
      </x:c>
      <x:c r="B64" s="78" t="str">
        <x:f>IF(D64="","","待配置")</x:f>
      </x:c>
      <x:c r="C64" s="79"/>
      <x:c r="D64" s="86"/>
      <x:c r="E64" s="86"/>
      <x:c r="F64" s="86"/>
      <x:c r="G64" s="86"/>
      <x:c r="H64" s="86"/>
      <x:c r="I64" s="87"/>
      <x:c r="J64" s="87"/>
      <x:c r="K64" s="87"/>
      <x:c r="L64" s="87"/>
      <x:c r="M64" s="87"/>
      <x:c r="N64" s="93"/>
    </x:row>
    <x:row r="65" ht="28" customHeight="1">
      <x:c r="A65" s="77" t="str">
        <x:f>IF(D65="","",ROW()-4)</x:f>
      </x:c>
      <x:c r="B65" s="78" t="str">
        <x:f>IF(D65="","","待配置")</x:f>
      </x:c>
      <x:c r="C65" s="79"/>
      <x:c r="D65" s="86"/>
      <x:c r="E65" s="86"/>
      <x:c r="F65" s="86"/>
      <x:c r="G65" s="86"/>
      <x:c r="H65" s="86"/>
      <x:c r="I65" s="87"/>
      <x:c r="J65" s="87"/>
      <x:c r="K65" s="87"/>
      <x:c r="L65" s="87"/>
      <x:c r="M65" s="87"/>
      <x:c r="N65" s="93"/>
    </x:row>
    <x:row r="66" ht="28" customHeight="1">
      <x:c r="A66" s="77" t="str">
        <x:f>IF(D66="","",ROW()-4)</x:f>
      </x:c>
      <x:c r="B66" s="78" t="str">
        <x:f>IF(D66="","","待配置")</x:f>
      </x:c>
      <x:c r="C66" s="79"/>
      <x:c r="D66" s="86"/>
      <x:c r="E66" s="86"/>
      <x:c r="F66" s="86"/>
      <x:c r="G66" s="86"/>
      <x:c r="H66" s="86"/>
      <x:c r="I66" s="87"/>
      <x:c r="J66" s="87"/>
      <x:c r="K66" s="87"/>
      <x:c r="L66" s="87"/>
      <x:c r="M66" s="87"/>
      <x:c r="N66" s="93"/>
    </x:row>
    <x:row r="67" ht="28" customHeight="1">
      <x:c r="A67" s="77" t="str">
        <x:f>IF(D67="","",ROW()-4)</x:f>
      </x:c>
      <x:c r="B67" s="78" t="str">
        <x:f>IF(D67="","","待配置")</x:f>
      </x:c>
      <x:c r="C67" s="79"/>
      <x:c r="D67" s="86"/>
      <x:c r="E67" s="86"/>
      <x:c r="F67" s="86"/>
      <x:c r="G67" s="86"/>
      <x:c r="H67" s="86"/>
      <x:c r="I67" s="87"/>
      <x:c r="J67" s="87"/>
      <x:c r="K67" s="87"/>
      <x:c r="L67" s="87"/>
      <x:c r="M67" s="87"/>
      <x:c r="N67" s="93"/>
    </x:row>
    <x:row r="68" ht="28" customHeight="1">
      <x:c r="A68" s="77" t="str">
        <x:f>IF(D68="","",ROW()-4)</x:f>
      </x:c>
      <x:c r="B68" s="78" t="str">
        <x:f>IF(D68="","","待配置")</x:f>
      </x:c>
      <x:c r="C68" s="79"/>
      <x:c r="D68" s="86"/>
      <x:c r="E68" s="86"/>
      <x:c r="F68" s="86"/>
      <x:c r="G68" s="86"/>
      <x:c r="H68" s="86"/>
      <x:c r="I68" s="87"/>
      <x:c r="J68" s="87"/>
      <x:c r="K68" s="87"/>
      <x:c r="L68" s="87"/>
      <x:c r="M68" s="87"/>
      <x:c r="N68" s="93"/>
    </x:row>
    <x:row r="69" ht="28" customHeight="1">
      <x:c r="A69" s="77" t="str">
        <x:f>IF(D69="","",ROW()-4)</x:f>
      </x:c>
      <x:c r="B69" s="78" t="str">
        <x:f>IF(D69="","","待配置")</x:f>
      </x:c>
      <x:c r="C69" s="79"/>
      <x:c r="D69" s="86"/>
      <x:c r="E69" s="86"/>
      <x:c r="F69" s="86"/>
      <x:c r="G69" s="86"/>
      <x:c r="H69" s="86"/>
      <x:c r="I69" s="87"/>
      <x:c r="J69" s="87"/>
      <x:c r="K69" s="87"/>
      <x:c r="L69" s="87"/>
      <x:c r="M69" s="87"/>
      <x:c r="N69" s="93"/>
    </x:row>
    <x:row r="70" ht="28" customHeight="1">
      <x:c r="A70" s="77" t="str">
        <x:f>IF(D70="","",ROW()-4)</x:f>
      </x:c>
      <x:c r="B70" s="78" t="str">
        <x:f>IF(D70="","","待配置")</x:f>
      </x:c>
      <x:c r="C70" s="79"/>
      <x:c r="D70" s="86"/>
      <x:c r="E70" s="86"/>
      <x:c r="F70" s="86"/>
      <x:c r="G70" s="86"/>
      <x:c r="H70" s="86"/>
      <x:c r="I70" s="87"/>
      <x:c r="J70" s="87"/>
      <x:c r="K70" s="87"/>
      <x:c r="L70" s="87"/>
      <x:c r="M70" s="87"/>
      <x:c r="N70" s="93"/>
    </x:row>
    <x:row r="71" ht="28" customHeight="1">
      <x:c r="A71" s="77" t="str">
        <x:f>IF(D71="","",ROW()-4)</x:f>
      </x:c>
      <x:c r="B71" s="78" t="str">
        <x:f>IF(D71="","","待配置")</x:f>
      </x:c>
      <x:c r="C71" s="79"/>
      <x:c r="D71" s="86"/>
      <x:c r="E71" s="86"/>
      <x:c r="F71" s="86"/>
      <x:c r="G71" s="86"/>
      <x:c r="H71" s="86"/>
      <x:c r="I71" s="87"/>
      <x:c r="J71" s="87"/>
      <x:c r="K71" s="87"/>
      <x:c r="L71" s="87"/>
      <x:c r="M71" s="87"/>
      <x:c r="N71" s="93"/>
    </x:row>
    <x:row r="72" ht="28" customHeight="1">
      <x:c r="A72" s="77" t="str">
        <x:f>IF(D72="","",ROW()-4)</x:f>
      </x:c>
      <x:c r="B72" s="78" t="str">
        <x:f>IF(D72="","","待配置")</x:f>
      </x:c>
      <x:c r="C72" s="79"/>
      <x:c r="D72" s="86"/>
      <x:c r="E72" s="86"/>
      <x:c r="F72" s="86"/>
      <x:c r="G72" s="86"/>
      <x:c r="H72" s="86"/>
      <x:c r="I72" s="87"/>
      <x:c r="J72" s="87"/>
      <x:c r="K72" s="87"/>
      <x:c r="L72" s="87"/>
      <x:c r="M72" s="87"/>
      <x:c r="N72" s="93"/>
    </x:row>
    <x:row r="73" ht="28" customHeight="1">
      <x:c r="A73" s="77" t="str">
        <x:f>IF(D73="","",ROW()-4)</x:f>
      </x:c>
      <x:c r="B73" s="78" t="str">
        <x:f>IF(D73="","","待配置")</x:f>
      </x:c>
      <x:c r="C73" s="79"/>
      <x:c r="D73" s="86"/>
      <x:c r="E73" s="86"/>
      <x:c r="F73" s="86"/>
      <x:c r="G73" s="86"/>
      <x:c r="H73" s="86"/>
      <x:c r="I73" s="87"/>
      <x:c r="J73" s="87"/>
      <x:c r="K73" s="87"/>
      <x:c r="L73" s="87"/>
      <x:c r="M73" s="87"/>
      <x:c r="N73" s="93"/>
    </x:row>
    <x:row r="74" ht="28" customHeight="1">
      <x:c r="A74" s="77" t="str">
        <x:f>IF(D74="","",ROW()-4)</x:f>
      </x:c>
      <x:c r="B74" s="78" t="str">
        <x:f>IF(D74="","","待配置")</x:f>
      </x:c>
      <x:c r="C74" s="79"/>
      <x:c r="D74" s="86"/>
      <x:c r="E74" s="86"/>
      <x:c r="F74" s="86"/>
      <x:c r="G74" s="86"/>
      <x:c r="H74" s="86"/>
      <x:c r="I74" s="87"/>
      <x:c r="J74" s="87"/>
      <x:c r="K74" s="87"/>
      <x:c r="L74" s="87"/>
      <x:c r="M74" s="87"/>
      <x:c r="N74" s="93"/>
    </x:row>
    <x:row r="75" ht="28" customHeight="1">
      <x:c r="A75" s="77" t="str">
        <x:f>IF(D75="","",ROW()-4)</x:f>
      </x:c>
      <x:c r="B75" s="78" t="str">
        <x:f>IF(D75="","","待配置")</x:f>
      </x:c>
      <x:c r="C75" s="79"/>
      <x:c r="D75" s="86"/>
      <x:c r="E75" s="86"/>
      <x:c r="F75" s="86"/>
      <x:c r="G75" s="86"/>
      <x:c r="H75" s="86"/>
      <x:c r="I75" s="87"/>
      <x:c r="J75" s="87"/>
      <x:c r="K75" s="87"/>
      <x:c r="L75" s="87"/>
      <x:c r="M75" s="87"/>
      <x:c r="N75" s="93"/>
    </x:row>
    <x:row r="76" ht="28" customHeight="1">
      <x:c r="A76" s="77" t="str">
        <x:f>IF(D76="","",ROW()-4)</x:f>
      </x:c>
      <x:c r="B76" s="78" t="str">
        <x:f>IF(D76="","","待配置")</x:f>
      </x:c>
      <x:c r="C76" s="79"/>
      <x:c r="D76" s="86"/>
      <x:c r="E76" s="86"/>
      <x:c r="F76" s="86"/>
      <x:c r="G76" s="86"/>
      <x:c r="H76" s="86"/>
      <x:c r="I76" s="87"/>
      <x:c r="J76" s="87"/>
      <x:c r="K76" s="87"/>
      <x:c r="L76" s="87"/>
      <x:c r="M76" s="87"/>
      <x:c r="N76" s="93"/>
    </x:row>
    <x:row r="77" ht="28" customHeight="1">
      <x:c r="A77" s="77" t="str">
        <x:f>IF(D77="","",ROW()-4)</x:f>
      </x:c>
      <x:c r="B77" s="78" t="str">
        <x:f>IF(D77="","","待配置")</x:f>
      </x:c>
      <x:c r="C77" s="79"/>
      <x:c r="D77" s="86"/>
      <x:c r="E77" s="86"/>
      <x:c r="F77" s="86"/>
      <x:c r="G77" s="86"/>
      <x:c r="H77" s="86"/>
      <x:c r="I77" s="87"/>
      <x:c r="J77" s="87"/>
      <x:c r="K77" s="87"/>
      <x:c r="L77" s="87"/>
      <x:c r="M77" s="87"/>
      <x:c r="N77" s="93"/>
    </x:row>
    <x:row r="78" ht="28" customHeight="1">
      <x:c r="A78" s="77" t="str">
        <x:f>IF(D78="","",ROW()-4)</x:f>
      </x:c>
      <x:c r="B78" s="78" t="str">
        <x:f>IF(D78="","","待配置")</x:f>
      </x:c>
      <x:c r="C78" s="79"/>
      <x:c r="D78" s="86"/>
      <x:c r="E78" s="86"/>
      <x:c r="F78" s="86"/>
      <x:c r="G78" s="86"/>
      <x:c r="H78" s="86"/>
      <x:c r="I78" s="87"/>
      <x:c r="J78" s="87"/>
      <x:c r="K78" s="87"/>
      <x:c r="L78" s="87"/>
      <x:c r="M78" s="87"/>
      <x:c r="N78" s="93"/>
    </x:row>
    <x:row r="79" ht="28" customHeight="1">
      <x:c r="A79" s="77" t="str">
        <x:f>IF(D79="","",ROW()-4)</x:f>
      </x:c>
      <x:c r="B79" s="78" t="str">
        <x:f>IF(D79="","","待配置")</x:f>
      </x:c>
      <x:c r="C79" s="79"/>
      <x:c r="D79" s="86"/>
      <x:c r="E79" s="86"/>
      <x:c r="F79" s="86"/>
      <x:c r="G79" s="86"/>
      <x:c r="H79" s="86"/>
      <x:c r="I79" s="87"/>
      <x:c r="J79" s="87"/>
      <x:c r="K79" s="87"/>
      <x:c r="L79" s="87"/>
      <x:c r="M79" s="87"/>
      <x:c r="N79" s="93"/>
    </x:row>
    <x:row r="80" ht="28" customHeight="1">
      <x:c r="A80" s="77" t="str">
        <x:f>IF(D80="","",ROW()-4)</x:f>
      </x:c>
      <x:c r="B80" s="78" t="str">
        <x:f>IF(D80="","","待配置")</x:f>
      </x:c>
      <x:c r="C80" s="79"/>
      <x:c r="D80" s="86"/>
      <x:c r="E80" s="86"/>
      <x:c r="F80" s="86"/>
      <x:c r="G80" s="86"/>
      <x:c r="H80" s="86"/>
      <x:c r="I80" s="87"/>
      <x:c r="J80" s="87"/>
      <x:c r="K80" s="87"/>
      <x:c r="L80" s="87"/>
      <x:c r="M80" s="87"/>
      <x:c r="N80" s="93"/>
    </x:row>
    <x:row r="81" ht="28" customHeight="1">
      <x:c r="A81" s="77" t="str">
        <x:f>IF(D81="","",ROW()-4)</x:f>
      </x:c>
      <x:c r="B81" s="78" t="str">
        <x:f>IF(D81="","","待配置")</x:f>
      </x:c>
      <x:c r="C81" s="79"/>
      <x:c r="D81" s="86"/>
      <x:c r="E81" s="86"/>
      <x:c r="F81" s="86"/>
      <x:c r="G81" s="86"/>
      <x:c r="H81" s="86"/>
      <x:c r="I81" s="87"/>
      <x:c r="J81" s="87"/>
      <x:c r="K81" s="87"/>
      <x:c r="L81" s="87"/>
      <x:c r="M81" s="87"/>
      <x:c r="N81" s="93"/>
    </x:row>
    <x:row r="82" ht="28" customHeight="1">
      <x:c r="A82" s="77" t="str">
        <x:f>IF(D82="","",ROW()-4)</x:f>
      </x:c>
      <x:c r="B82" s="78" t="str">
        <x:f>IF(D82="","","待配置")</x:f>
      </x:c>
      <x:c r="C82" s="79"/>
      <x:c r="D82" s="86"/>
      <x:c r="E82" s="86"/>
      <x:c r="F82" s="86"/>
      <x:c r="G82" s="86"/>
      <x:c r="H82" s="86"/>
      <x:c r="I82" s="87"/>
      <x:c r="J82" s="87"/>
      <x:c r="K82" s="87"/>
      <x:c r="L82" s="87"/>
      <x:c r="M82" s="87"/>
      <x:c r="N82" s="93"/>
    </x:row>
    <x:row r="83" ht="28" customHeight="1">
      <x:c r="A83" s="77" t="str">
        <x:f>IF(D83="","",ROW()-4)</x:f>
      </x:c>
      <x:c r="B83" s="78" t="str">
        <x:f>IF(D83="","","待配置")</x:f>
      </x:c>
      <x:c r="C83" s="79"/>
      <x:c r="D83" s="86"/>
      <x:c r="E83" s="86"/>
      <x:c r="F83" s="86"/>
      <x:c r="G83" s="86"/>
      <x:c r="H83" s="86"/>
      <x:c r="I83" s="87"/>
      <x:c r="J83" s="87"/>
      <x:c r="K83" s="87"/>
      <x:c r="L83" s="87"/>
      <x:c r="M83" s="87"/>
      <x:c r="N83" s="93"/>
    </x:row>
    <x:row r="84" ht="28" customHeight="1">
      <x:c r="A84" s="77" t="str">
        <x:f>IF(D84="","",ROW()-4)</x:f>
      </x:c>
      <x:c r="B84" s="78" t="str">
        <x:f>IF(D84="","","待配置")</x:f>
      </x:c>
      <x:c r="C84" s="79"/>
      <x:c r="D84" s="86"/>
      <x:c r="E84" s="86"/>
      <x:c r="F84" s="86"/>
      <x:c r="G84" s="86"/>
      <x:c r="H84" s="86"/>
      <x:c r="I84" s="87"/>
      <x:c r="J84" s="87"/>
      <x:c r="K84" s="87"/>
      <x:c r="L84" s="87"/>
      <x:c r="M84" s="87"/>
      <x:c r="N84" s="93"/>
    </x:row>
    <x:row r="85" ht="28" customHeight="1">
      <x:c r="A85" s="77" t="str">
        <x:f>IF(D85="","",ROW()-4)</x:f>
      </x:c>
      <x:c r="B85" s="78" t="str">
        <x:f>IF(D85="","","待配置")</x:f>
      </x:c>
      <x:c r="C85" s="79"/>
      <x:c r="D85" s="86"/>
      <x:c r="E85" s="86"/>
      <x:c r="F85" s="86"/>
      <x:c r="G85" s="86"/>
      <x:c r="H85" s="86"/>
      <x:c r="I85" s="87"/>
      <x:c r="J85" s="87"/>
      <x:c r="K85" s="87"/>
      <x:c r="L85" s="87"/>
      <x:c r="M85" s="87"/>
      <x:c r="N85" s="93"/>
    </x:row>
    <x:row r="86" ht="28" customHeight="1">
      <x:c r="A86" s="77" t="str">
        <x:f>IF(D86="","",ROW()-4)</x:f>
      </x:c>
      <x:c r="B86" s="78" t="str">
        <x:f>IF(D86="","","待配置")</x:f>
      </x:c>
      <x:c r="C86" s="79"/>
      <x:c r="D86" s="86"/>
      <x:c r="E86" s="86"/>
      <x:c r="F86" s="86"/>
      <x:c r="G86" s="86"/>
      <x:c r="H86" s="86"/>
      <x:c r="I86" s="87"/>
      <x:c r="J86" s="87"/>
      <x:c r="K86" s="87"/>
      <x:c r="L86" s="87"/>
      <x:c r="M86" s="87"/>
      <x:c r="N86" s="93"/>
    </x:row>
    <x:row r="87" ht="28" customHeight="1">
      <x:c r="A87" s="77" t="str">
        <x:f>IF(D87="","",ROW()-4)</x:f>
      </x:c>
      <x:c r="B87" s="78" t="str">
        <x:f>IF(D87="","","待配置")</x:f>
      </x:c>
      <x:c r="C87" s="79"/>
      <x:c r="D87" s="86"/>
      <x:c r="E87" s="86"/>
      <x:c r="F87" s="86"/>
      <x:c r="G87" s="86"/>
      <x:c r="H87" s="86"/>
      <x:c r="I87" s="87"/>
      <x:c r="J87" s="87"/>
      <x:c r="K87" s="87"/>
      <x:c r="L87" s="87"/>
      <x:c r="M87" s="87"/>
      <x:c r="N87" s="93"/>
    </x:row>
    <x:row r="88" ht="28" customHeight="1">
      <x:c r="A88" s="77" t="str">
        <x:f>IF(D88="","",ROW()-4)</x:f>
      </x:c>
      <x:c r="B88" s="78" t="str">
        <x:f>IF(D88="","","待配置")</x:f>
      </x:c>
      <x:c r="C88" s="79"/>
      <x:c r="D88" s="86"/>
      <x:c r="E88" s="86"/>
      <x:c r="F88" s="86"/>
      <x:c r="G88" s="86"/>
      <x:c r="H88" s="86"/>
      <x:c r="I88" s="87"/>
      <x:c r="J88" s="87"/>
      <x:c r="K88" s="87"/>
      <x:c r="L88" s="87"/>
      <x:c r="M88" s="87"/>
      <x:c r="N88" s="93"/>
    </x:row>
    <x:row r="89" ht="28" customHeight="1">
      <x:c r="A89" s="77" t="str">
        <x:f>IF(D89="","",ROW()-4)</x:f>
      </x:c>
      <x:c r="B89" s="78" t="str">
        <x:f>IF(D89="","","待配置")</x:f>
      </x:c>
      <x:c r="C89" s="79"/>
      <x:c r="D89" s="86"/>
      <x:c r="E89" s="86"/>
      <x:c r="F89" s="86"/>
      <x:c r="G89" s="86"/>
      <x:c r="H89" s="86"/>
      <x:c r="I89" s="87"/>
      <x:c r="J89" s="87"/>
      <x:c r="K89" s="87"/>
      <x:c r="L89" s="87"/>
      <x:c r="M89" s="87"/>
      <x:c r="N89" s="93"/>
    </x:row>
    <x:row r="90" ht="28" customHeight="1">
      <x:c r="A90" s="77" t="str">
        <x:f>IF(D90="","",ROW()-4)</x:f>
      </x:c>
      <x:c r="B90" s="78" t="str">
        <x:f>IF(D90="","","待配置")</x:f>
      </x:c>
      <x:c r="C90" s="79"/>
      <x:c r="D90" s="86"/>
      <x:c r="E90" s="86"/>
      <x:c r="F90" s="86"/>
      <x:c r="G90" s="86"/>
      <x:c r="H90" s="86"/>
      <x:c r="I90" s="87"/>
      <x:c r="J90" s="87"/>
      <x:c r="K90" s="87"/>
      <x:c r="L90" s="87"/>
      <x:c r="M90" s="87"/>
      <x:c r="N90" s="93"/>
    </x:row>
    <x:row r="91" ht="28" customHeight="1">
      <x:c r="A91" s="77" t="str">
        <x:f>IF(D91="","",ROW()-4)</x:f>
      </x:c>
      <x:c r="B91" s="78" t="str">
        <x:f>IF(D91="","","待配置")</x:f>
      </x:c>
      <x:c r="C91" s="79"/>
      <x:c r="D91" s="86"/>
      <x:c r="E91" s="86"/>
      <x:c r="F91" s="86"/>
      <x:c r="G91" s="86"/>
      <x:c r="H91" s="86"/>
      <x:c r="I91" s="87"/>
      <x:c r="J91" s="87"/>
      <x:c r="K91" s="87"/>
      <x:c r="L91" s="87"/>
      <x:c r="M91" s="87"/>
      <x:c r="N91" s="93"/>
    </x:row>
    <x:row r="92" ht="28" customHeight="1">
      <x:c r="A92" s="77" t="str">
        <x:f>IF(D92="","",ROW()-4)</x:f>
      </x:c>
      <x:c r="B92" s="78" t="str">
        <x:f>IF(D92="","","待配置")</x:f>
      </x:c>
      <x:c r="C92" s="79"/>
      <x:c r="D92" s="86"/>
      <x:c r="E92" s="86"/>
      <x:c r="F92" s="86"/>
      <x:c r="G92" s="86"/>
      <x:c r="H92" s="86"/>
      <x:c r="I92" s="87"/>
      <x:c r="J92" s="87"/>
      <x:c r="K92" s="87"/>
      <x:c r="L92" s="87"/>
      <x:c r="M92" s="87"/>
      <x:c r="N92" s="93"/>
    </x:row>
    <x:row r="93" ht="28" customHeight="1">
      <x:c r="A93" s="77" t="str">
        <x:f>IF(D93="","",ROW()-4)</x:f>
      </x:c>
      <x:c r="B93" s="78" t="str">
        <x:f>IF(D93="","","待配置")</x:f>
      </x:c>
      <x:c r="C93" s="79"/>
      <x:c r="D93" s="86"/>
      <x:c r="E93" s="86"/>
      <x:c r="F93" s="86"/>
      <x:c r="G93" s="86"/>
      <x:c r="H93" s="86"/>
      <x:c r="I93" s="87"/>
      <x:c r="J93" s="87"/>
      <x:c r="K93" s="87"/>
      <x:c r="L93" s="87"/>
      <x:c r="M93" s="87"/>
      <x:c r="N93" s="93"/>
    </x:row>
    <x:row r="94" ht="28" customHeight="1">
      <x:c r="A94" s="77" t="str">
        <x:f>IF(D94="","",ROW()-4)</x:f>
      </x:c>
      <x:c r="B94" s="78" t="str">
        <x:f>IF(D94="","","待配置")</x:f>
      </x:c>
      <x:c r="C94" s="79"/>
      <x:c r="D94" s="86"/>
      <x:c r="E94" s="86"/>
      <x:c r="F94" s="86"/>
      <x:c r="G94" s="86"/>
      <x:c r="H94" s="86"/>
      <x:c r="I94" s="87"/>
      <x:c r="J94" s="87"/>
      <x:c r="K94" s="87"/>
      <x:c r="L94" s="87"/>
      <x:c r="M94" s="87"/>
      <x:c r="N94" s="93"/>
    </x:row>
    <x:row r="95" ht="28" customHeight="1">
      <x:c r="A95" s="77" t="str">
        <x:f>IF(D95="","",ROW()-4)</x:f>
      </x:c>
      <x:c r="B95" s="78" t="str">
        <x:f>IF(D95="","","待配置")</x:f>
      </x:c>
      <x:c r="C95" s="79"/>
      <x:c r="D95" s="86"/>
      <x:c r="E95" s="86"/>
      <x:c r="F95" s="86"/>
      <x:c r="G95" s="86"/>
      <x:c r="H95" s="86"/>
      <x:c r="I95" s="87"/>
      <x:c r="J95" s="87"/>
      <x:c r="K95" s="87"/>
      <x:c r="L95" s="87"/>
      <x:c r="M95" s="87"/>
      <x:c r="N95" s="93"/>
    </x:row>
    <x:row r="96" ht="28" customHeight="1">
      <x:c r="A96" s="77" t="str">
        <x:f>IF(D96="","",ROW()-4)</x:f>
      </x:c>
      <x:c r="B96" s="78" t="str">
        <x:f>IF(D96="","","待配置")</x:f>
      </x:c>
      <x:c r="C96" s="79"/>
      <x:c r="D96" s="86"/>
      <x:c r="E96" s="86"/>
      <x:c r="F96" s="86"/>
      <x:c r="G96" s="86"/>
      <x:c r="H96" s="86"/>
      <x:c r="I96" s="87"/>
      <x:c r="J96" s="87"/>
      <x:c r="K96" s="87"/>
      <x:c r="L96" s="87"/>
      <x:c r="M96" s="87"/>
      <x:c r="N96" s="93"/>
    </x:row>
    <x:row r="97" ht="28" customHeight="1">
      <x:c r="A97" s="77" t="str">
        <x:f>IF(D97="","",ROW()-4)</x:f>
      </x:c>
      <x:c r="B97" s="78" t="str">
        <x:f>IF(D97="","","待配置")</x:f>
      </x:c>
      <x:c r="C97" s="79"/>
      <x:c r="D97" s="86"/>
      <x:c r="E97" s="86"/>
      <x:c r="F97" s="86"/>
      <x:c r="G97" s="86"/>
      <x:c r="H97" s="86"/>
      <x:c r="I97" s="87"/>
      <x:c r="J97" s="87"/>
      <x:c r="K97" s="87"/>
      <x:c r="L97" s="87"/>
      <x:c r="M97" s="87"/>
      <x:c r="N97" s="93"/>
    </x:row>
    <x:row r="98" ht="28" customHeight="1">
      <x:c r="A98" s="77" t="str">
        <x:f>IF(D98="","",ROW()-4)</x:f>
      </x:c>
      <x:c r="B98" s="78" t="str">
        <x:f>IF(D98="","","待配置")</x:f>
      </x:c>
      <x:c r="C98" s="79"/>
      <x:c r="D98" s="86"/>
      <x:c r="E98" s="86"/>
      <x:c r="F98" s="86"/>
      <x:c r="G98" s="86"/>
      <x:c r="H98" s="86"/>
      <x:c r="I98" s="87"/>
      <x:c r="J98" s="87"/>
      <x:c r="K98" s="87"/>
      <x:c r="L98" s="87"/>
      <x:c r="M98" s="87"/>
      <x:c r="N98" s="93"/>
    </x:row>
    <x:row r="99" ht="28" customHeight="1">
      <x:c r="A99" s="77" t="str">
        <x:f>IF(D99="","",ROW()-4)</x:f>
      </x:c>
      <x:c r="B99" s="78" t="str">
        <x:f>IF(D99="","","待配置")</x:f>
      </x:c>
      <x:c r="C99" s="79"/>
      <x:c r="D99" s="86"/>
      <x:c r="E99" s="86"/>
      <x:c r="F99" s="86"/>
      <x:c r="G99" s="86"/>
      <x:c r="H99" s="86"/>
      <x:c r="I99" s="87"/>
      <x:c r="J99" s="87"/>
      <x:c r="K99" s="87"/>
      <x:c r="L99" s="87"/>
      <x:c r="M99" s="87"/>
      <x:c r="N99" s="93"/>
    </x:row>
    <x:row r="100" ht="28" customHeight="1">
      <x:c r="A100" s="77" t="str">
        <x:f>IF(D100="","",ROW()-4)</x:f>
      </x:c>
      <x:c r="B100" s="78" t="str">
        <x:f>IF(D100="","","待配置")</x:f>
      </x:c>
      <x:c r="C100" s="79"/>
      <x:c r="D100" s="86"/>
      <x:c r="E100" s="86"/>
      <x:c r="F100" s="86"/>
      <x:c r="G100" s="86"/>
      <x:c r="H100" s="86"/>
      <x:c r="I100" s="87"/>
      <x:c r="J100" s="87"/>
      <x:c r="K100" s="87"/>
      <x:c r="L100" s="87"/>
      <x:c r="M100" s="87"/>
      <x:c r="N100" s="93"/>
    </x:row>
    <x:row r="101" ht="28" customHeight="1">
      <x:c r="A101" s="77" t="str">
        <x:f>IF(D101="","",ROW()-4)</x:f>
      </x:c>
      <x:c r="B101" s="78" t="str">
        <x:f>IF(D101="","","待配置")</x:f>
      </x:c>
      <x:c r="C101" s="79"/>
      <x:c r="D101" s="86"/>
      <x:c r="E101" s="86"/>
      <x:c r="F101" s="86"/>
      <x:c r="G101" s="86"/>
      <x:c r="H101" s="86"/>
      <x:c r="I101" s="87"/>
      <x:c r="J101" s="87"/>
      <x:c r="K101" s="87"/>
      <x:c r="L101" s="87"/>
      <x:c r="M101" s="87"/>
      <x:c r="N101" s="93"/>
    </x:row>
    <x:row r="102" ht="28" customHeight="1">
      <x:c r="A102" s="77" t="str">
        <x:f>IF(D102="","",ROW()-4)</x:f>
      </x:c>
      <x:c r="B102" s="78" t="str">
        <x:f>IF(D102="","","待配置")</x:f>
      </x:c>
      <x:c r="C102" s="79"/>
      <x:c r="D102" s="86"/>
      <x:c r="E102" s="86"/>
      <x:c r="F102" s="86"/>
      <x:c r="G102" s="86"/>
      <x:c r="H102" s="86"/>
      <x:c r="I102" s="87"/>
      <x:c r="J102" s="87"/>
      <x:c r="K102" s="87"/>
      <x:c r="L102" s="87"/>
      <x:c r="M102" s="87"/>
      <x:c r="N102" s="93"/>
    </x:row>
    <x:row r="103" ht="28" customHeight="1">
      <x:c r="A103" s="77" t="str">
        <x:f>IF(D103="","",ROW()-4)</x:f>
      </x:c>
      <x:c r="B103" s="78" t="str">
        <x:f>IF(D103="","","待配置")</x:f>
      </x:c>
      <x:c r="C103" s="79"/>
      <x:c r="D103" s="86"/>
      <x:c r="E103" s="86"/>
      <x:c r="F103" s="86"/>
      <x:c r="G103" s="86"/>
      <x:c r="H103" s="86"/>
      <x:c r="I103" s="87"/>
      <x:c r="J103" s="87"/>
      <x:c r="K103" s="87"/>
      <x:c r="L103" s="87"/>
      <x:c r="M103" s="87"/>
      <x:c r="N103" s="93"/>
    </x:row>
    <x:row r="104" ht="28" customHeight="1">
      <x:c r="A104" s="80" t="str">
        <x:f>IF(D104="","",ROW()-4)</x:f>
      </x:c>
      <x:c r="B104" s="81" t="str">
        <x:f>IF(D104="","","待配置")</x:f>
      </x:c>
      <x:c r="C104" s="82"/>
      <x:c r="D104" s="89"/>
      <x:c r="E104" s="89"/>
      <x:c r="F104" s="89"/>
      <x:c r="G104" s="89"/>
      <x:c r="H104" s="89"/>
      <x:c r="I104" s="90"/>
      <x:c r="J104" s="90"/>
      <x:c r="K104" s="90"/>
      <x:c r="L104" s="90"/>
      <x:c r="M104" s="90"/>
      <x:c r="N104" s="94"/>
    </x:row>
  </x:sheetData>
  <x:mergeCells>
    <x:mergeCell ref="A1:N1"/>
    <x:mergeCell ref="A2:N2"/>
    <x:mergeCell ref="I3:N3"/>
  </x:mergeCells>
  <x:conditionalFormatting sqref="B5:B104">
    <x:cfRule type="containsText" dxfId="0" priority="1" operator="containsText" text="待配置"/>
    <x:cfRule type="containsText" dxfId="1" priority="2" operator="containsText" text="配置中"/>
    <x:cfRule type="containsText" dxfId="2" priority="3" operator="containsText" text="待确认"/>
    <x:cfRule type="containsText" dxfId="3" priority="4" operator="containsText" text="已完成"/>
    <x:cfRule type="containsText" dxfId="4" priority="5" operator="containsText" text="已归档"/>
  </x:conditionalFormatting>
  <x:dataValidations count="2">
    <x:dataValidation type="list" sqref="B5:B104">
      <x:formula1>"待配置,配置中,待确认,已完成,暂不处理,已归档"</x:formula1>
    </x:dataValidation>
    <x:dataValidation type="list" sqref="C5:C104">
      <x:formula1>"剧情,对话,事件内对话,不确定"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b8e738e644a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复制给 AI / 直接说一句话</x:v>
      </x:c>
    </x:row>
    <x:row r="3" ht="34" customHeight="1">
      <x:c r="A3" s="123" t="str">
        <x:v>请处理《剧情配置需求池.xlsx》“需求池”中状态为“待配置”且“需求一句话”不为空的记录。按行号顺序处理；根据项目现有剧情、事件、对话和文本配置经验补齐缺失信息，所有自行补充内容标记为“AI假设”。默认生成测试副本，不修改 Table 源表。所有目标配置 Sheet 中，AI新增或修改的配置行必须写在 A列“END”行的下方，保留END行不动；END及其下方不会被导表器导出，属于待确认草稿。只有用户明确要求“确认并转为正式配置”时，才把已确认配置移动到END上方并重新执行ID、外键、文本和导出QA。完成后回填AI配置判断、涉及配置表、使用/新增ID、输出文件、AI假设与待确认、完成时间，并更新状态。仅读取匹配记录，不读取已完成或已归档历史。</x:v>
      </x:c>
      <x:c r="B3" s="124"/>
      <x:c r="C3" s="124"/>
      <x:c r="D3" s="124"/>
      <x:c r="E3" s="124"/>
      <x:c r="F3" s="124"/>
      <x:c r="G3" s="124"/>
      <x:c r="H3" s="125"/>
    </x:row>
    <x:row r="4" ht="34" customHeight="1">
      <x:c r="A4" s="126"/>
      <x:c r="B4" s="127"/>
      <x:c r="C4" s="127"/>
      <x:c r="D4" s="127"/>
      <x:c r="E4" s="127"/>
      <x:c r="F4" s="127"/>
      <x:c r="G4" s="127"/>
      <x:c r="H4" s="128"/>
    </x:row>
    <x:row r="5" ht="34" customHeight="1">
      <x:c r="A5" s="126"/>
      <x:c r="B5" s="127"/>
      <x:c r="C5" s="127"/>
      <x:c r="D5" s="127"/>
      <x:c r="E5" s="127"/>
      <x:c r="F5" s="127"/>
      <x:c r="G5" s="127"/>
      <x:c r="H5" s="128"/>
    </x:row>
    <x:row r="6" ht="34" customHeight="1">
      <x:c r="A6" s="129"/>
      <x:c r="B6" s="130"/>
      <x:c r="C6" s="130"/>
      <x:c r="D6" s="130"/>
      <x:c r="E6" s="130"/>
      <x:c r="F6" s="130"/>
      <x:c r="G6" s="130"/>
      <x:c r="H6" s="131"/>
    </x:row>
    <x:row r="8">
      <x:c r="A8" s="132" t="str">
        <x:v>以后最短可以直接对 AI 说</x:v>
      </x:c>
    </x:row>
    <x:row r="9" ht="38" customHeight="1">
      <x:c r="A9" s="136" t="str">
        <x:v>处理剧情配置需求池。</x:v>
      </x:c>
    </x:row>
    <x:row r="11">
      <x:c r="A11" s="28" t="str">
        <x:v>想做什么</x:v>
      </x:c>
      <x:c r="B11" s="28" t="str">
        <x:v>可以对 AI 说什么</x:v>
      </x:c>
    </x:row>
    <x:row r="12">
      <x:c r="A12" s="139" t="str">
        <x:v>处理所有待配置</x:v>
      </x:c>
      <x:c r="B12" s="139" t="str">
        <x:v>处理剧情配置需求池</x:v>
      </x:c>
    </x:row>
    <x:row r="13">
      <x:c r="A13" s="139" t="str">
        <x:v>只处理一条</x:v>
      </x:c>
      <x:c r="B13" s="139" t="str">
        <x:v>只处理需求池第 7 行</x:v>
      </x:c>
    </x:row>
    <x:row r="14">
      <x:c r="A14" s="139" t="str">
        <x:v>整理旧记录</x:v>
      </x:c>
      <x:c r="B14" s="139" t="str">
        <x:v>把已完成记录归档到单独文件；先复制成功，再从活动池移除</x:v>
      </x:c>
    </x:row>
  </x:sheetData>
  <x:mergeCells>
    <x:mergeCell ref="A1:H1"/>
    <x:mergeCell ref="A3:H6"/>
    <x:mergeCell ref="A8:H8"/>
    <x:mergeCell ref="A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4" hidden="0" customWidth="1"/>
    <x:col min="4" max="4" width="16" hidden="0" customWidth="1"/>
    <x:col min="5" max="5" width="18" hidden="0" customWidth="1"/>
    <x:col min="6" max="6" width="30" hidden="0" customWidth="1"/>
  </x:cols>
  <x:sheetData>
    <x:row r="1">
      <x:c r="A1" s="4" t="str">
        <x:v>AI 读取与回填规则</x:v>
      </x:c>
    </x:row>
    <x:row r="3">
      <x:c r="A3" s="28" t="str">
        <x:v>规则项</x:v>
      </x:c>
      <x:c r="B3" s="28" t="str">
        <x:v>值</x:v>
      </x:c>
      <x:c r="C3" s="28" t="str">
        <x:v>说明</x:v>
      </x:c>
      <x:c r="D3" s="28" t="str">
        <x:v>用户是否填写</x:v>
      </x:c>
      <x:c r="E3" s="28" t="str">
        <x:v>AI动作</x:v>
      </x:c>
      <x:c r="F3" s="28" t="str">
        <x:v>备注</x:v>
      </x:c>
    </x:row>
    <x:row r="4" ht="34" customHeight="1">
      <x:c r="A4" s="140" t="str">
        <x:v>活动Sheet</x:v>
      </x:c>
      <x:c r="B4" s="206" t="str">
        <x:v>需求池</x:v>
      </x:c>
      <x:c r="C4" s="139" t="str">
        <x:v>本次任务只从这个Sheet取输入</x:v>
      </x:c>
      <x:c r="D4" s="139" t="str">
        <x:v>否</x:v>
      </x:c>
      <x:c r="E4" s="207" t="str">
        <x:v>读取</x:v>
      </x:c>
      <x:c r="F4" s="139" t="str">
        <x:v>不要遍历已归档文件</x:v>
      </x:c>
    </x:row>
    <x:row r="5" ht="34" customHeight="1">
      <x:c r="A5" s="140" t="str">
        <x:v>处理条件</x:v>
      </x:c>
      <x:c r="B5" s="206" t="str">
        <x:v>状态=待配置 且 需求一句话非空</x:v>
      </x:c>
      <x:c r="C5" s="139" t="str">
        <x:v>两个条件必须同时满足</x:v>
      </x:c>
      <x:c r="D5" s="139" t="str">
        <x:v>否</x:v>
      </x:c>
      <x:c r="E5" s="207" t="str">
        <x:v>筛选</x:v>
      </x:c>
      <x:c r="F5" s="139" t="str">
        <x:v>空白预留行不处理</x:v>
      </x:c>
    </x:row>
    <x:row r="6" ht="34" customHeight="1">
      <x:c r="A6" s="140" t="str">
        <x:v>处理顺序</x:v>
      </x:c>
      <x:c r="B6" s="206" t="str">
        <x:v>行号升序</x:v>
      </x:c>
      <x:c r="C6" s="139" t="str">
        <x:v>先填的先处理</x:v>
      </x:c>
      <x:c r="D6" s="139" t="str">
        <x:v>否</x:v>
      </x:c>
      <x:c r="E6" s="207" t="str">
        <x:v>排序</x:v>
      </x:c>
      <x:c r="F6" s="139" t="str">
        <x:v>用户指定行号时优先</x:v>
      </x:c>
    </x:row>
    <x:row r="7" ht="34" customHeight="1">
      <x:c r="A7" s="140" t="str">
        <x:v>最少输入</x:v>
      </x:c>
      <x:c r="B7" s="206" t="str">
        <x:v>需求一句话</x:v>
      </x:c>
      <x:c r="C7" s="139" t="str">
        <x:v>内容性质及其他字段都允许留空</x:v>
      </x:c>
      <x:c r="D7" s="139" t="str">
        <x:v>是</x:v>
      </x:c>
      <x:c r="E7" s="207" t="str">
        <x:v>推断缺省</x:v>
      </x:c>
      <x:c r="F7" s="139" t="str">
        <x:v>推断内容写入AI假设</x:v>
      </x:c>
    </x:row>
    <x:row r="8" ht="34" customHeight="1">
      <x:c r="A8" s="140" t="str">
        <x:v>用户输入列</x:v>
      </x:c>
      <x:c r="B8" s="206" t="str">
        <x:v>C:H</x:v>
      </x:c>
      <x:c r="C8" s="139" t="str">
        <x:v>内容性质、需求、触发、动作、对象、特殊要求</x:v>
      </x:c>
      <x:c r="D8" s="139" t="str">
        <x:v>是</x:v>
      </x:c>
      <x:c r="E8" s="207" t="str">
        <x:v>只读</x:v>
      </x:c>
      <x:c r="F8" s="139" t="str">
        <x:v>除明显错误外不改写</x:v>
      </x:c>
    </x:row>
    <x:row r="9" ht="34" customHeight="1">
      <x:c r="A9" s="140" t="str">
        <x:v>AI回填列</x:v>
      </x:c>
      <x:c r="B9" s="206" t="str">
        <x:v>I:N</x:v>
      </x:c>
      <x:c r="C9" s="139" t="str">
        <x:v>判断、表、ID、输出、假设、完成时间</x:v>
      </x:c>
      <x:c r="D9" s="139" t="str">
        <x:v>否</x:v>
      </x:c>
      <x:c r="E9" s="207" t="str">
        <x:v>写入</x:v>
      </x:c>
      <x:c r="F9" s="139" t="str">
        <x:v>同时更新B列状态</x:v>
      </x:c>
    </x:row>
    <x:row r="10" ht="34" customHeight="1">
      <x:c r="A10" s="140" t="str">
        <x:v>源表边界</x:v>
      </x:c>
      <x:c r="B10" s="206" t="str">
        <x:v>策划/配置表/Table</x:v>
      </x:c>
      <x:c r="C10" s="139" t="str">
        <x:v>正式配置源表只读</x:v>
      </x:c>
      <x:c r="D10" s="139" t="str">
        <x:v>否</x:v>
      </x:c>
      <x:c r="E10" s="207" t="str">
        <x:v>不修改</x:v>
      </x:c>
      <x:c r="F10" s="139" t="str">
        <x:v>生成副本到AI生成目录</x:v>
      </x:c>
    </x:row>
    <x:row r="11" ht="34" customHeight="1">
      <x:c r="A11" s="210" t="str">
        <x:v>配置写入位置</x:v>
      </x:c>
      <x:c r="B11" s="210" t="str">
        <x:v>各目标Sheet的A列END行下方</x:v>
      </x:c>
      <x:c r="C11" s="210" t="str">
        <x:v>AI新增/修改配置统一放在END下面</x:v>
      </x:c>
      <x:c r="D11" s="210" t="str">
        <x:v>否</x:v>
      </x:c>
      <x:c r="E11" s="210" t="str">
        <x:v>写入草稿区</x:v>
      </x:c>
      <x:c r="F11" s="210" t="str">
        <x:v>END及下方不导出；确认后才移到END上方</x:v>
      </x:c>
    </x:row>
    <x:row r="12" ht="34" customHeight="1">
      <x:c r="A12" s="140" t="str">
        <x:v>经验文档</x:v>
      </x:c>
      <x:c r="B12" s="206" t="str">
        <x:v>剧情、事件AI配置/剧情配置说明_给AI使用.md</x:v>
      </x:c>
      <x:c r="C12" s="139" t="str">
        <x:v>剧情、对话配置关系</x:v>
      </x:c>
      <x:c r="D12" s="139" t="str">
        <x:v>否</x:v>
      </x:c>
      <x:c r="E12" s="207" t="str">
        <x:v>按需读取</x:v>
      </x:c>
      <x:c r="F12" s="139" t="str">
        <x:v>不要每次重扫全部源表</x:v>
      </x:c>
    </x:row>
    <x:row r="13" ht="34" customHeight="1">
      <x:c r="A13" s="140" t="str">
        <x:v>事件文档</x:v>
      </x:c>
      <x:c r="B13" s="206" t="str">
        <x:v>剧情、事件AI配置/事件配置说明_给AI使用.md</x:v>
      </x:c>
      <x:c r="C13" s="139" t="str">
        <x:v>事件链和eventType分支</x:v>
      </x:c>
      <x:c r="D13" s="139" t="str">
        <x:v>否</x:v>
      </x:c>
      <x:c r="E13" s="207" t="str">
        <x:v>按需读取</x:v>
      </x:c>
      <x:c r="F13" s="139" t="str">
        <x:v>只有事件类需求才重点读取</x:v>
      </x:c>
    </x:row>
    <x:row r="14" ht="34" customHeight="1">
      <x:c r="A14" s="140" t="str">
        <x:v>归档建议</x:v>
      </x:c>
      <x:c r="B14" s="206" t="str">
        <x:v>已完成记录达到50条</x:v>
      </x:c>
      <x:c r="C14" s="139" t="str">
        <x:v>把较早完成记录移到单独归档工作簿</x:v>
      </x:c>
      <x:c r="D14" s="139" t="str">
        <x:v>否</x:v>
      </x:c>
      <x:c r="E14" s="207" t="str">
        <x:v>提醒用户</x:v>
      </x:c>
      <x:c r="F14" s="139" t="str">
        <x:v>归档前先复制并校验</x:v>
      </x:c>
    </x:row>
    <x:row r="15" ht="34" customHeight="1">
      <x:c r="A15" s="140" t="str">
        <x:v>默认交付</x:v>
      </x:c>
      <x:c r="B15" s="206" t="str">
        <x:v>测试副本 + END下方草稿</x:v>
      </x:c>
      <x:c r="C15" s="139" t="str">
        <x:v>缺失值允许AI先补一版</x:v>
      </x:c>
      <x:c r="D15" s="139" t="str">
        <x:v>否</x:v>
      </x:c>
      <x:c r="E15" s="207" t="str">
        <x:v>标记假设/非导出</x:v>
      </x:c>
      <x:c r="F15" s="139" t="str">
        <x:v>不把AI假设冒充正式值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36" hidden="0" customWidth="1"/>
    <x:col min="4" max="4" width="36" hidden="0" customWidth="1"/>
  </x:cols>
  <x:sheetData>
    <x:row r="1">
      <x:c r="A1" s="4" t="str">
        <x:v>使用说明与 AI 自动判断经验</x:v>
      </x:c>
    </x:row>
    <x:row r="3">
      <x:c r="A3" s="28" t="str">
        <x:v>描述中出现的情况</x:v>
      </x:c>
      <x:c r="B3" s="28" t="str">
        <x:v>默认配置路线</x:v>
      </x:c>
      <x:c r="C3" s="28" t="str">
        <x:v>关键默认</x:v>
      </x:c>
      <x:c r="D3" s="28" t="str">
        <x:v>你之后主要调整</x:v>
      </x:c>
    </x:row>
    <x:row r="4" ht="34" customHeight="1">
      <x:c r="A4" s="139" t="str">
        <x:v>纯剧情/过场，无角色交互</x:v>
      </x:c>
      <x:c r="B4" s="139" t="str">
        <x:v>tPlot → tPlotStep → 对白</x:v>
      </x:c>
      <x:c r="C4" s="139" t="str">
        <x:v>不创建事件</x:v>
      </x:c>
      <x:c r="D4" s="139" t="str">
        <x:v>剧情条件、步骤、对白</x:v>
      </x:c>
    </x:row>
    <x:row r="5" ht="34" customHeight="1">
      <x:c r="A5" s="139" t="str">
        <x:v>角色出现，玩家点击说话</x:v>
      </x:c>
      <x:c r="B5" s="139" t="str">
        <x:v>eventType=8 → tEventGeneralProgress</x:v>
      </x:c>
      <x:c r="C5" s="139" t="str">
        <x:v>对白结束完成事件</x:v>
      </x:c>
      <x:c r="D5" s="139" t="str">
        <x:v>触发条件、对白、坐标</x:v>
      </x:c>
    </x:row>
    <x:row r="6" ht="34" customHeight="1">
      <x:c r="A6" s="139" t="str">
        <x:v>矿下 NPC、靠近、破坏地块</x:v>
      </x:c>
      <x:c r="B6" s="139" t="str">
        <x:v>eventType=5 → tMineEvent + tMineTalkEvent</x:v>
      </x:c>
      <x:c r="C6" s="139" t="str">
        <x:v>显式写对白完成标记</x:v>
      </x:c>
      <x:c r="D6" s="139" t="str">
        <x:v>关卡、深度、交互方式</x:v>
      </x:c>
    </x:row>
    <x:row r="7" ht="34" customHeight="1">
      <x:c r="A7" s="139" t="str">
        <x:v>团餐、订单、菜品数量</x:v>
      </x:c>
      <x:c r="B7" s="139" t="str">
        <x:v>eventType=2 → tGroupMeal</x:v>
      </x:c>
      <x:c r="C7" s="139" t="str">
        <x:v>按现有菜品池推导</x:v>
      </x:c>
      <x:c r="D7" s="139" t="str">
        <x:v>菜品标签、数量、奖励</x:v>
      </x:c>
    </x:row>
    <x:row r="8" ht="34" customHeight="1">
      <x:c r="A8" s="139" t="str">
        <x:v>网红/霸王餐/小偷/商人</x:v>
      </x:c>
      <x:c r="B8" s="139" t="str">
        <x:v>eventType=3/4/6/7 → tEventCuster</x:v>
      </x:c>
      <x:c r="C8" s="139" t="str">
        <x:v>结果按达标/不达标复用</x:v>
      </x:c>
      <x:c r="D8" s="139" t="str">
        <x:v>角色、结果、消息、奖励</x:v>
      </x:c>
    </x:row>
    <x:row r="9" ht="34" customHeight="1">
      <x:c r="A9" s="139" t="str">
        <x:v>流行菜/口味季</x:v>
      </x:c>
      <x:c r="B9" s="139" t="str">
        <x:v>eventType=1 → tTrendContent</x:v>
      </x:c>
      <x:c r="C9" s="139" t="str">
        <x:v>时长看 tEventGroup.endParam</x:v>
      </x:c>
      <x:c r="D9" s="139" t="str">
        <x:v>流行目标、文本、档位</x:v>
      </x:c>
    </x:row>
    <x:row r="10" ht="34" customHeight="1">
      <x:c r="A10" s="139" t="str">
        <x:v>完成某事件后再播放剧情</x:v>
      </x:c>
      <x:c r="B10" s="139" t="str">
        <x:v>tPlot.hangCondition=2</x:v>
      </x:c>
      <x:c r="C10" s="139" t="str">
        <x:v>参数填具体 tEventGroup.id</x:v>
      </x:c>
      <x:c r="D10" s="139" t="str">
        <x:v>后续对白、Timeline、奖励</x:v>
      </x:c>
    </x:row>
    <x:row r="11" ht="34" customHeight="1">
      <x:c r="A11" s="139" t="str">
        <x:v>烹饪失败/时间变化</x:v>
      </x:c>
      <x:c r="B11" s="139" t="str">
        <x:v>tManageEvent* 独立配置</x:v>
      </x:c>
      <x:c r="C11" s="139" t="str">
        <x:v>不接核心事件剧情链</x:v>
      </x:c>
      <x:c r="D11" s="139" t="str">
        <x:v>失败区间、失败率、倍率</x:v>
      </x:c>
    </x:row>
    <x:row r="13">
      <x:c r="A13" s="170" t="str">
        <x:v>内容性质：
• 剧情：完整故事流程，通常需要 tPlot、步骤、Timeline 或后续奖励。
• 对话：一组角色对白，需要 tDialogueTable、tDialogContent、tlanguage_cn；可独立存在，也可被剧情或事件引用。
• 事件内对话：事件表负责角色/对象出现与完成，对话表负责说什么。
• 不确定或留空：AI根据描述自动判断，并把判断依据写入“AI配置判断”和“AI假设与待确认”。</x:v>
      </x:c>
      <x:c r="B13" s="171"/>
      <x:c r="C13" s="171"/>
      <x:c r="D13" s="172"/>
    </x:row>
    <x:row r="14">
      <x:c r="A14" s="173"/>
      <x:c r="B14" s="174"/>
      <x:c r="C14" s="174"/>
      <x:c r="D14" s="175"/>
    </x:row>
    <x:row r="15">
      <x:c r="A15" s="173"/>
      <x:c r="B15" s="174"/>
      <x:c r="C15" s="174"/>
      <x:c r="D15" s="175"/>
    </x:row>
    <x:row r="16">
      <x:c r="A16" s="176"/>
      <x:c r="B16" s="177"/>
      <x:c r="C16" s="177"/>
      <x:c r="D16" s="178"/>
    </x:row>
    <x:row r="18">
      <x:c r="A18" s="231" t="str">
        <x:v>AI配置写入规则：所有新增或修改的配置行，一律写在目标Sheet的A列END行下方，END行本身不得移动或删除。该区域不会被导表器导出，只作为待确认草稿。用户确认后，才把对应行移动到END上方，并重新检查ID、外键、tlanguage_cn文本引用及实际导出结果。</x:v>
      </x:c>
      <x:c r="B18" s="232"/>
      <x:c r="C18" s="232"/>
      <x:c r="D18" s="233"/>
    </x:row>
    <x:row r="19">
      <x:c r="A19" s="234"/>
      <x:c r="B19" s="235"/>
      <x:c r="C19" s="235"/>
      <x:c r="D19" s="236"/>
    </x:row>
    <x:row r="20">
      <x:c r="A20" s="237"/>
      <x:c r="B20" s="238"/>
      <x:c r="C20" s="238"/>
      <x:c r="D20" s="239"/>
    </x:row>
    <x:row r="22">
      <x:c r="A22" s="260" t="str">
        <x:v>控制文件大小：活动需求池建议只保留待处理、处理中、待确认和最近完成的记录。已完成记录达到50条时，让AI另存为“剧情配置需求归档_YYYY-MM.xlsx”；确认归档文件可读后，再从活动池移除旧记录。</x:v>
      </x:c>
      <x:c r="B22" s="261"/>
      <x:c r="C22" s="261"/>
      <x:c r="D22" s="262"/>
    </x:row>
    <x:row r="23">
      <x:c r="A23" s="263"/>
      <x:c r="B23" s="264"/>
      <x:c r="C23" s="264"/>
      <x:c r="D23" s="265"/>
    </x:row>
    <x:row r="24">
      <x:c r="A24" s="266"/>
      <x:c r="B24" s="267"/>
      <x:c r="C24" s="267"/>
      <x:c r="D24" s="268"/>
    </x:row>
  </x:sheetData>
  <x:mergeCells>
    <x:mergeCell ref="A1:D1"/>
    <x:mergeCell ref="A13:D16"/>
    <x:mergeCell ref="A18:D20"/>
    <x:mergeCell ref="A22:D24"/>
  </x:mergeCells>
  <x:pageMargins left="0.7" right="0.7" top="0.75" bottom="0.75" header="0.3" footer="0.3"/>
</x:worksheet>
</file>