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7658221c0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需求" sheetId="1" r:id="R4322e0bf236f467f"/>
    <x:sheet xmlns:r="http://schemas.openxmlformats.org/officeDocument/2006/relationships" name="填写示例" sheetId="2" r:id="R1ddb2e54c37a417d"/>
    <x:sheet xmlns:r="http://schemas.openxmlformats.org/officeDocument/2006/relationships" name="AI配置规则" sheetId="3" r:id="R4d2c8a722ea54ce4"/>
    <x:sheet xmlns:r="http://schemas.openxmlformats.org/officeDocument/2006/relationships" name="使用说明" sheetId="4" r:id="R940d5aec47b44e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2">
    <x:font>
      <x:sz val="11"/>
      <x:name val="Carlito"/>
    </x:font>
    <x:font>
      <x:b/>
      <x:sz val="18"/>
      <x:color rgb="FFFFFFFF"/>
      <x:name val="Carlito"/>
    </x:font>
    <x:font>
      <x:sz val="10"/>
      <x:color rgb="FF1F1F1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595959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8"/>
      <x:color rgb="FFFFFFFF"/>
      <x:name val="Microsoft YaHei"/>
    </x:font>
    <x:font>
      <x:sz val="10"/>
      <x:color rgb="FF1F1F1F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0"/>
      <x:color rgb="FF9C5700"/>
      <x:name val="Carlito"/>
    </x:font>
    <x:font>
      <x:sz val="10"/>
      <x:color rgb="FF375623"/>
      <x:name val="Carlito"/>
    </x:font>
    <x:font>
      <x:sz val="10"/>
      <x:color rgb="FF7F6000"/>
      <x:name val="Carlito"/>
    </x:font>
    <x:font>
      <x:b/>
      <x:sz val="11"/>
      <x:color rgb="FF17365D"/>
      <x:name val="Microsoft YaHei"/>
    </x:font>
    <x:font>
      <x:b/>
      <x:sz val="11"/>
      <x:color rgb="FF375623"/>
      <x:name val="Microsoft YaHei"/>
    </x:font>
    <x:font>
      <x:b/>
      <x:sz val="11"/>
      <x:color rgb="FF595959"/>
      <x:name val="Microsoft YaHei"/>
    </x:font>
    <x:font>
      <x:b/>
      <x:sz val="11"/>
      <x:color rgb="FF7F6000"/>
      <x:name val="Microsoft YaHei"/>
    </x:font>
    <x:font>
      <x:sz val="10"/>
      <x:color rgb="FF9C5700"/>
      <x:name val="Microsoft YaHei"/>
    </x:font>
    <x:font>
      <x:sz val="10"/>
      <x:color rgb="FF375623"/>
      <x:name val="Microsoft YaHei"/>
    </x:font>
    <x:font>
      <x:sz val="10"/>
      <x:color rgb="FF7F6000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/>
    <x:xf numFmtId="0" fontId="14" fillId="6" borderId="0" xfId="0" applyNumberFormat="1" applyFont="1" applyFill="1" applyBorder="1" applyAlignment="1">
      <x:alignment wrapText="1"/>
    </x:xf>
    <x:xf numFmtId="0" fontId="14" fillId="6" borderId="0" xfId="0" applyNumberFormat="1" applyFont="1" applyFill="1" applyBorder="1" applyAlignment="1">
      <x:alignment vertical="center" wrapText="1"/>
    </x:xf>
    <x:xf numFmtId="0" fontId="15" fillId="3" borderId="1" xfId="0" applyNumberFormat="1" applyFont="1" applyFill="1" applyBorder="1" applyAlignment="1">
      <x:alignment horizontal="center" vertical="center"/>
    </x:xf>
    <x:xf numFmtId="0" fontId="16" fillId="4" borderId="1" xfId="0" applyNumberFormat="1" applyFont="1" applyFill="1" applyBorder="1" applyAlignment="1">
      <x:alignment vertical="center" wrapText="1"/>
    </x:xf>
    <x:xf numFmtId="0" fontId="17" fillId="5" borderId="1" xfId="0" applyNumberFormat="1" applyFont="1" applyFill="1" applyBorder="1" applyAlignment="1">
      <x:alignment horizontal="center"/>
    </x:xf>
    <x:xf numFmtId="0" fontId="18" fillId="6" borderId="1" xfId="0" applyNumberFormat="1" applyFont="1" applyFill="1" applyBorder="1" applyAlignment="1">
      <x:alignment horizontal="center"/>
    </x:xf>
    <x:xf numFmtId="0" fontId="15" fillId="7" borderId="1" xfId="0" applyNumberFormat="1" applyFont="1" applyFill="1" applyBorder="1" applyAlignment="1">
      <x:alignment horizontal="center"/>
    </x:xf>
    <x:xf numFmtId="0" fontId="10" fillId="9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200" fontId="10" fillId="7" borderId="1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horizontal="center"/>
    </x:xf>
    <x:xf numFmtId="0" fontId="19" fillId="11" borderId="0" xfId="0" applyNumberFormat="1" applyFont="1" applyFill="1" applyBorder="1" applyAlignment="1">
      <x:alignment vertical="center" wrapText="1"/>
    </x:xf>
    <x:xf numFmtId="0" fontId="20" fillId="4" borderId="0" xfId="0" applyNumberFormat="1" applyFont="1" applyFill="1" applyBorder="1" applyAlignment="1">
      <x:alignment vertical="center" wrapText="1"/>
    </x:xf>
    <x:xf numFmtId="0" fontId="2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6f4d718a64912" /><Relationship Type="http://schemas.openxmlformats.org/officeDocument/2006/relationships/theme" Target="/xl/theme/theme1.xml" Id="Rd56ef22567784246" /><Relationship Type="http://schemas.openxmlformats.org/officeDocument/2006/relationships/sharedStrings" Target="/xl/sharedStrings.xml" Id="Re71d3fcea6894483" /><Relationship Type="http://schemas.openxmlformats.org/officeDocument/2006/relationships/worksheet" Target="/xl/worksheets/sheet1.xml" Id="R4322e0bf236f467f" /><Relationship Type="http://schemas.openxmlformats.org/officeDocument/2006/relationships/worksheet" Target="/xl/worksheets/sheet2.xml" Id="R1ddb2e54c37a417d" /><Relationship Type="http://schemas.openxmlformats.org/officeDocument/2006/relationships/worksheet" Target="/xl/worksheets/sheet3.xml" Id="R4d2c8a722ea54ce4" /><Relationship Type="http://schemas.openxmlformats.org/officeDocument/2006/relationships/worksheet" Target="/xl/worksheets/sheet4.xml" Id="R940d5aec47b44ed6" /></Relationships>
</file>

<file path=xl/tables/table1.xml><?xml version="1.0" encoding="utf-8"?>
<x:table xmlns:x="http://schemas.openxmlformats.org/spreadsheetml/2006/main" id="1" name="StoryEventRequestPool" displayName="StoryEventRequestPool" ref="A6:N106" headerRowCount="1" totalsRowCount="0" totalsRowShown="0">
  <x:tableColumns count="14">
    <x:tableColumn id="1" name="状态"/>
    <x:tableColumn id="2" name="序号"/>
    <x:tableColumn id="3" name="内容性质（可空）"/>
    <x:tableColumn id="4" name="需求一句话（必填）"/>
    <x:tableColumn id="5" name="触发时机（可空）"/>
    <x:tableColumn id="6" name="玩家动作（可空）"/>
    <x:tableColumn id="7" name="对象与场景（可空）"/>
    <x:tableColumn id="8" name="特殊要求（可空）"/>
    <x:tableColumn id="9" name="AI配置判断"/>
    <x:tableColumn id="10" name="涉及配置表"/>
    <x:tableColumn id="11" name="使用/新增ID"/>
    <x:tableColumn id="12" name="输出文件位置"/>
    <x:tableColumn id="13" name="AI假设与待确认"/>
    <x:tableColumn id="14" name="完成时间"/>
  </x:tableColumns>
  <x:tableStyleInfo name="TableStyleLight9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9b26874e584f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38" hidden="0" customWidth="1"/>
    <x:col min="5" max="5" width="24" hidden="0" customWidth="1"/>
    <x:col min="6" max="6" width="24" hidden="0" customWidth="1"/>
    <x:col min="7" max="7" width="25" hidden="0" customWidth="1"/>
    <x:col min="8" max="8" width="28" hidden="0" customWidth="1"/>
    <x:col min="9" max="9" width="28" hidden="0" customWidth="1"/>
    <x:col min="10" max="10" width="30" hidden="0" customWidth="1"/>
    <x:col min="11" max="11" width="36" hidden="0" customWidth="1"/>
    <x:col min="12" max="12" width="40" hidden="0" customWidth="1"/>
    <x:col min="13" max="13" width="40" hidden="0" customWidth="1"/>
    <x:col min="14" max="14" width="21" hidden="0" customWidth="1"/>
  </x:cols>
  <x:sheetData>
    <x:row r="1" ht="30" customHeight="1">
      <x:c r="A1" s="63" t="str">
        <x:v>Bubble 剧情 / 事件需求池</x:v>
      </x:c>
      <x:c r="B1" s="63" t="str">
        <x:v>Bubble 剧情 / 事件需求池</x:v>
      </x:c>
      <x:c r="C1" s="63" t="str">
        <x:v>Bubble 剧情 / 事件需求池</x:v>
      </x:c>
      <x:c r="D1" s="63" t="str">
        <x:v>Bubble 剧情 / 事件需求池</x:v>
      </x:c>
      <x:c r="E1" s="63" t="str">
        <x:v>Bubble 剧情 / 事件需求池</x:v>
      </x:c>
      <x:c r="F1" s="63" t="str">
        <x:v>Bubble 剧情 / 事件需求池</x:v>
      </x:c>
      <x:c r="G1" s="63" t="str">
        <x:v>Bubble 剧情 / 事件需求池</x:v>
      </x:c>
      <x:c r="H1" s="63" t="str">
        <x:v>Bubble 剧情 / 事件需求池</x:v>
      </x:c>
      <x:c r="I1" s="63" t="str">
        <x:v>Bubble 剧情 / 事件需求池</x:v>
      </x:c>
      <x:c r="J1" s="63" t="str">
        <x:v>Bubble 剧情 / 事件需求池</x:v>
      </x:c>
      <x:c r="K1" s="63" t="str">
        <x:v>Bubble 剧情 / 事件需求池</x:v>
      </x:c>
      <x:c r="L1" s="63" t="str">
        <x:v>Bubble 剧情 / 事件需求池</x:v>
      </x:c>
      <x:c r="M1" s="63" t="str">
        <x:v>Bubble 剧情 / 事件需求池</x:v>
      </x:c>
      <x:c r="N1" s="63" t="str">
        <x:v>Bubble 剧情 / 事件需求池</x:v>
      </x:c>
    </x:row>
    <x:row r="2" ht="38" customHeight="1">
      <x:c r="A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B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C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D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E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F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G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H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I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J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K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L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M2" s="64" t="str">
        <x:v>这是剧情、对白、事件与事件后剧情的唯一长期活动需求池。每次在下一空行填写“需求一句话”；其余用户字段按需填写。然后告诉 AI：‘处理剧情事件需求池。’</x:v>
      </x:c>
      <x:c r="N2" s="64" t="str">
        <x:v>这是剧情、对白、事件与事件后剧情的唯一长期活动需求池。每次在下一空行填写“需求一句话”；其余用户字段按需填写。然后告诉 AI：‘处理剧情事件需求池。’</x:v>
      </x:c>
    </x:row>
    <x:row r="3" ht="34" customHeight="1">
      <x:c r="A3" s="83" t="str">
        <x:v>待配置</x:v>
      </x:c>
      <x:c r="B3" s="83" t="n">
        <x:f>COUNTIF($A$7:$A$106,"待配置")</x:f>
        <x:v>0</x:v>
      </x:c>
      <x:c r="C3" s="83" t="str">
        <x:v>配置中</x:v>
      </x:c>
      <x:c r="D3" s="83" t="n">
        <x:f>COUNTIF($A$7:$A$106,"配置中")</x:f>
        <x:v>0</x:v>
      </x:c>
      <x:c r="E3" s="83" t="str">
        <x:v>待确认</x:v>
      </x:c>
      <x:c r="F3" s="83" t="n">
        <x:f>COUNTIF($A$7:$A$106,"待确认")</x:f>
        <x:v>0</x:v>
      </x:c>
      <x:c r="G3" s="83" t="str">
        <x:v>已完成</x:v>
      </x:c>
      <x:c r="H3" s="83" t="n">
        <x:f>COUNTIF($A$7:$A$106,"已完成")</x:f>
        <x:v>0</x:v>
      </x:c>
      <x:c r="I3" s="84" t="str">
        <x:v>状态流：待配置 → 配置中 → 已完成；阻塞时恢复待配置并写明原因。‘已完成’只代表草案与 QA 完成，不等于已导表生效。</x:v>
      </x:c>
      <x:c r="J3" s="84" t="str">
        <x:v>状态流：待配置 → 配置中 → 已完成；阻塞时恢复待配置并写明原因。‘已完成’只代表草案与 QA 完成，不等于已导表生效。</x:v>
      </x:c>
      <x:c r="K3" s="84" t="str">
        <x:v>状态流：待配置 → 配置中 → 已完成；阻塞时恢复待配置并写明原因。‘已完成’只代表草案与 QA 完成，不等于已导表生效。</x:v>
      </x:c>
      <x:c r="L3" s="84" t="str">
        <x:v>状态流：待配置 → 配置中 → 已完成；阻塞时恢复待配置并写明原因。‘已完成’只代表草案与 QA 完成，不等于已导表生效。</x:v>
      </x:c>
      <x:c r="M3" s="84" t="str">
        <x:v>状态流：待配置 → 配置中 → 已完成；阻塞时恢复待配置并写明原因。‘已完成’只代表草案与 QA 完成，不等于已导表生效。</x:v>
      </x:c>
      <x:c r="N3" s="84" t="str">
        <x:v>状态流：待配置 → 配置中 → 已完成；阻塞时恢复待配置并写明原因。‘已完成’只代表草案与 QA 完成，不等于已导表生效。</x:v>
      </x:c>
    </x:row>
    <x:row r="4">
      <x:c r="A4" s="85" t="str">
        <x:v>AI维护</x:v>
      </x:c>
      <x:c r="B4" s="85" t="str">
        <x:v>自动编号</x:v>
      </x:c>
      <x:c r="C4" s="86" t="str">
        <x:v>用户填写</x:v>
      </x:c>
      <x:c r="D4" s="86" t="str">
        <x:v>用户必填</x:v>
      </x:c>
      <x:c r="E4" s="86" t="str">
        <x:v>用户选填</x:v>
      </x:c>
      <x:c r="F4" s="86" t="str">
        <x:v>用户选填</x:v>
      </x:c>
      <x:c r="G4" s="86" t="str">
        <x:v>用户选填</x:v>
      </x:c>
      <x:c r="H4" s="86" t="str">
        <x:v>用户选填</x:v>
      </x:c>
      <x:c r="I4" s="87" t="str">
        <x:v>AI回填</x:v>
      </x:c>
      <x:c r="J4" s="87" t="str">
        <x:v>AI回填</x:v>
      </x:c>
      <x:c r="K4" s="87" t="str">
        <x:v>AI回填</x:v>
      </x:c>
      <x:c r="L4" s="87" t="str">
        <x:v>AI回填</x:v>
      </x:c>
      <x:c r="M4" s="87" t="str">
        <x:v>AI回填</x:v>
      </x:c>
      <x:c r="N4" s="87" t="str">
        <x:v>AI回填</x:v>
      </x:c>
    </x:row>
    <x:row r="5">
      <x:c r="A5" s="65"/>
      <x:c r="B5" s="65"/>
      <x:c r="C5" s="65"/>
      <x:c r="D5" s="65"/>
      <x:c r="E5" s="65"/>
      <x:c r="F5" s="65"/>
      <x:c r="G5" s="65"/>
      <x:c r="H5" s="65"/>
      <x:c r="I5" s="65"/>
      <x:c r="J5" s="65"/>
      <x:c r="K5" s="65"/>
      <x:c r="L5" s="65"/>
      <x:c r="M5" s="65"/>
      <x:c r="N5" s="65"/>
    </x:row>
    <x:row r="6" ht="36" customHeight="1">
      <x:c r="A6" s="67" t="str">
        <x:v>状态</x:v>
      </x:c>
      <x:c r="B6" s="67" t="str">
        <x:v>序号</x:v>
      </x:c>
      <x:c r="C6" s="67" t="str">
        <x:v>内容性质（可空）</x:v>
      </x:c>
      <x:c r="D6" s="67" t="str">
        <x:v>需求一句话（必填）</x:v>
      </x:c>
      <x:c r="E6" s="67" t="str">
        <x:v>触发时机（可空）</x:v>
      </x:c>
      <x:c r="F6" s="67" t="str">
        <x:v>玩家动作（可空）</x:v>
      </x:c>
      <x:c r="G6" s="67" t="str">
        <x:v>对象与场景（可空）</x:v>
      </x:c>
      <x:c r="H6" s="67" t="str">
        <x:v>特殊要求（可空）</x:v>
      </x:c>
      <x:c r="I6" s="67" t="str">
        <x:v>AI配置判断</x:v>
      </x:c>
      <x:c r="J6" s="67" t="str">
        <x:v>涉及配置表</x:v>
      </x:c>
      <x:c r="K6" s="67" t="str">
        <x:v>使用/新增ID</x:v>
      </x:c>
      <x:c r="L6" s="67" t="str">
        <x:v>输出文件位置</x:v>
      </x:c>
      <x:c r="M6" s="67" t="str">
        <x:v>AI假设与待确认</x:v>
      </x:c>
      <x:c r="N6" s="67" t="str">
        <x:v>完成时间</x:v>
      </x:c>
    </x:row>
    <x:row r="7" ht="32" customHeight="1">
      <x:c r="A7" s="88" t="str">
        <x:f>IF(D7="","","待配置")</x:f>
      </x:c>
      <x:c r="B7" s="88" t="str">
        <x:f>IF(D7="","",ROW()-6)</x:f>
      </x:c>
      <x:c r="C7" s="89"/>
      <x:c r="D7" s="89"/>
      <x:c r="E7" s="89"/>
      <x:c r="F7" s="89"/>
      <x:c r="G7" s="89"/>
      <x:c r="H7" s="89"/>
      <x:c r="I7" s="90"/>
      <x:c r="J7" s="90"/>
      <x:c r="K7" s="90"/>
      <x:c r="L7" s="90"/>
      <x:c r="M7" s="90"/>
      <x:c r="N7" s="91"/>
    </x:row>
    <x:row r="8" ht="32" customHeight="1">
      <x:c r="A8" s="88" t="str">
        <x:f>IF(D8="","","待配置")</x:f>
      </x:c>
      <x:c r="B8" s="88" t="str">
        <x:f>IF(D8="","",ROW()-6)</x:f>
      </x:c>
      <x:c r="C8" s="89"/>
      <x:c r="D8" s="89"/>
      <x:c r="E8" s="89"/>
      <x:c r="F8" s="89"/>
      <x:c r="G8" s="89"/>
      <x:c r="H8" s="89"/>
      <x:c r="I8" s="90"/>
      <x:c r="J8" s="90"/>
      <x:c r="K8" s="90"/>
      <x:c r="L8" s="90"/>
      <x:c r="M8" s="90"/>
      <x:c r="N8" s="91"/>
    </x:row>
    <x:row r="9" ht="32" customHeight="1">
      <x:c r="A9" s="88" t="str">
        <x:f>IF(D9="","","待配置")</x:f>
      </x:c>
      <x:c r="B9" s="88" t="str">
        <x:f>IF(D9="","",ROW()-6)</x:f>
      </x:c>
      <x:c r="C9" s="89"/>
      <x:c r="D9" s="89"/>
      <x:c r="E9" s="89"/>
      <x:c r="F9" s="89"/>
      <x:c r="G9" s="89"/>
      <x:c r="H9" s="89"/>
      <x:c r="I9" s="90"/>
      <x:c r="J9" s="90"/>
      <x:c r="K9" s="90"/>
      <x:c r="L9" s="90"/>
      <x:c r="M9" s="90"/>
      <x:c r="N9" s="91"/>
    </x:row>
    <x:row r="10" ht="32" customHeight="1">
      <x:c r="A10" s="88" t="str">
        <x:f>IF(D10="","","待配置")</x:f>
      </x:c>
      <x:c r="B10" s="88" t="str">
        <x:f>IF(D10="","",ROW()-6)</x:f>
      </x:c>
      <x:c r="C10" s="89"/>
      <x:c r="D10" s="89"/>
      <x:c r="E10" s="89"/>
      <x:c r="F10" s="89"/>
      <x:c r="G10" s="89"/>
      <x:c r="H10" s="89"/>
      <x:c r="I10" s="90"/>
      <x:c r="J10" s="90"/>
      <x:c r="K10" s="90"/>
      <x:c r="L10" s="90"/>
      <x:c r="M10" s="90"/>
      <x:c r="N10" s="91"/>
    </x:row>
    <x:row r="11" ht="32" customHeight="1">
      <x:c r="A11" s="88" t="str">
        <x:f>IF(D11="","","待配置")</x:f>
      </x:c>
      <x:c r="B11" s="88" t="str">
        <x:f>IF(D11="","",ROW()-6)</x:f>
      </x:c>
      <x:c r="C11" s="89"/>
      <x:c r="D11" s="89"/>
      <x:c r="E11" s="89"/>
      <x:c r="F11" s="89"/>
      <x:c r="G11" s="89"/>
      <x:c r="H11" s="89"/>
      <x:c r="I11" s="90"/>
      <x:c r="J11" s="90"/>
      <x:c r="K11" s="90"/>
      <x:c r="L11" s="90"/>
      <x:c r="M11" s="90"/>
      <x:c r="N11" s="91"/>
    </x:row>
    <x:row r="12" ht="32" customHeight="1">
      <x:c r="A12" s="88" t="str">
        <x:f>IF(D12="","","待配置")</x:f>
      </x:c>
      <x:c r="B12" s="88" t="str">
        <x:f>IF(D12="","",ROW()-6)</x:f>
      </x:c>
      <x:c r="C12" s="89"/>
      <x:c r="D12" s="89"/>
      <x:c r="E12" s="89"/>
      <x:c r="F12" s="89"/>
      <x:c r="G12" s="89"/>
      <x:c r="H12" s="89"/>
      <x:c r="I12" s="90"/>
      <x:c r="J12" s="90"/>
      <x:c r="K12" s="90"/>
      <x:c r="L12" s="90"/>
      <x:c r="M12" s="90"/>
      <x:c r="N12" s="91"/>
    </x:row>
    <x:row r="13" ht="32" customHeight="1">
      <x:c r="A13" s="88" t="str">
        <x:f>IF(D13="","","待配置")</x:f>
      </x:c>
      <x:c r="B13" s="88" t="str">
        <x:f>IF(D13="","",ROW()-6)</x:f>
      </x:c>
      <x:c r="C13" s="89"/>
      <x:c r="D13" s="89"/>
      <x:c r="E13" s="89"/>
      <x:c r="F13" s="89"/>
      <x:c r="G13" s="89"/>
      <x:c r="H13" s="89"/>
      <x:c r="I13" s="90"/>
      <x:c r="J13" s="90"/>
      <x:c r="K13" s="90"/>
      <x:c r="L13" s="90"/>
      <x:c r="M13" s="90"/>
      <x:c r="N13" s="91"/>
    </x:row>
    <x:row r="14" ht="32" customHeight="1">
      <x:c r="A14" s="88" t="str">
        <x:f>IF(D14="","","待配置")</x:f>
      </x:c>
      <x:c r="B14" s="88" t="str">
        <x:f>IF(D14="","",ROW()-6)</x:f>
      </x:c>
      <x:c r="C14" s="89"/>
      <x:c r="D14" s="89"/>
      <x:c r="E14" s="89"/>
      <x:c r="F14" s="89"/>
      <x:c r="G14" s="89"/>
      <x:c r="H14" s="89"/>
      <x:c r="I14" s="90"/>
      <x:c r="J14" s="90"/>
      <x:c r="K14" s="90"/>
      <x:c r="L14" s="90"/>
      <x:c r="M14" s="90"/>
      <x:c r="N14" s="91"/>
    </x:row>
    <x:row r="15" ht="32" customHeight="1">
      <x:c r="A15" s="88" t="str">
        <x:f>IF(D15="","","待配置")</x:f>
      </x:c>
      <x:c r="B15" s="88" t="str">
        <x:f>IF(D15="","",ROW()-6)</x:f>
      </x:c>
      <x:c r="C15" s="89"/>
      <x:c r="D15" s="89"/>
      <x:c r="E15" s="89"/>
      <x:c r="F15" s="89"/>
      <x:c r="G15" s="89"/>
      <x:c r="H15" s="89"/>
      <x:c r="I15" s="90"/>
      <x:c r="J15" s="90"/>
      <x:c r="K15" s="90"/>
      <x:c r="L15" s="90"/>
      <x:c r="M15" s="90"/>
      <x:c r="N15" s="91"/>
    </x:row>
    <x:row r="16" ht="32" customHeight="1">
      <x:c r="A16" s="88" t="str">
        <x:f>IF(D16="","","待配置")</x:f>
      </x:c>
      <x:c r="B16" s="88" t="str">
        <x:f>IF(D16="","",ROW()-6)</x:f>
      </x:c>
      <x:c r="C16" s="89"/>
      <x:c r="D16" s="89"/>
      <x:c r="E16" s="89"/>
      <x:c r="F16" s="89"/>
      <x:c r="G16" s="89"/>
      <x:c r="H16" s="89"/>
      <x:c r="I16" s="90"/>
      <x:c r="J16" s="90"/>
      <x:c r="K16" s="90"/>
      <x:c r="L16" s="90"/>
      <x:c r="M16" s="90"/>
      <x:c r="N16" s="91"/>
    </x:row>
    <x:row r="17" ht="32" customHeight="1">
      <x:c r="A17" s="88" t="str">
        <x:f>IF(D17="","","待配置")</x:f>
      </x:c>
      <x:c r="B17" s="88" t="str">
        <x:f>IF(D17="","",ROW()-6)</x:f>
      </x:c>
      <x:c r="C17" s="89"/>
      <x:c r="D17" s="89"/>
      <x:c r="E17" s="89"/>
      <x:c r="F17" s="89"/>
      <x:c r="G17" s="89"/>
      <x:c r="H17" s="89"/>
      <x:c r="I17" s="90"/>
      <x:c r="J17" s="90"/>
      <x:c r="K17" s="90"/>
      <x:c r="L17" s="90"/>
      <x:c r="M17" s="90"/>
      <x:c r="N17" s="91"/>
    </x:row>
    <x:row r="18" ht="32" customHeight="1">
      <x:c r="A18" s="88" t="str">
        <x:f>IF(D18="","","待配置")</x:f>
      </x:c>
      <x:c r="B18" s="88" t="str">
        <x:f>IF(D18="","",ROW()-6)</x:f>
      </x:c>
      <x:c r="C18" s="89"/>
      <x:c r="D18" s="89"/>
      <x:c r="E18" s="89"/>
      <x:c r="F18" s="89"/>
      <x:c r="G18" s="89"/>
      <x:c r="H18" s="89"/>
      <x:c r="I18" s="90"/>
      <x:c r="J18" s="90"/>
      <x:c r="K18" s="90"/>
      <x:c r="L18" s="90"/>
      <x:c r="M18" s="90"/>
      <x:c r="N18" s="91"/>
    </x:row>
    <x:row r="19" ht="32" customHeight="1">
      <x:c r="A19" s="88" t="str">
        <x:f>IF(D19="","","待配置")</x:f>
      </x:c>
      <x:c r="B19" s="88" t="str">
        <x:f>IF(D19="","",ROW()-6)</x:f>
      </x:c>
      <x:c r="C19" s="89"/>
      <x:c r="D19" s="89"/>
      <x:c r="E19" s="89"/>
      <x:c r="F19" s="89"/>
      <x:c r="G19" s="89"/>
      <x:c r="H19" s="89"/>
      <x:c r="I19" s="90"/>
      <x:c r="J19" s="90"/>
      <x:c r="K19" s="90"/>
      <x:c r="L19" s="90"/>
      <x:c r="M19" s="90"/>
      <x:c r="N19" s="91"/>
    </x:row>
    <x:row r="20" ht="32" customHeight="1">
      <x:c r="A20" s="88" t="str">
        <x:f>IF(D20="","","待配置")</x:f>
      </x:c>
      <x:c r="B20" s="88" t="str">
        <x:f>IF(D20="","",ROW()-6)</x:f>
      </x:c>
      <x:c r="C20" s="89"/>
      <x:c r="D20" s="89"/>
      <x:c r="E20" s="89"/>
      <x:c r="F20" s="89"/>
      <x:c r="G20" s="89"/>
      <x:c r="H20" s="89"/>
      <x:c r="I20" s="90"/>
      <x:c r="J20" s="90"/>
      <x:c r="K20" s="90"/>
      <x:c r="L20" s="90"/>
      <x:c r="M20" s="90"/>
      <x:c r="N20" s="91"/>
    </x:row>
    <x:row r="21" ht="32" customHeight="1">
      <x:c r="A21" s="88" t="str">
        <x:f>IF(D21="","","待配置")</x:f>
      </x:c>
      <x:c r="B21" s="88" t="str">
        <x:f>IF(D21="","",ROW()-6)</x:f>
      </x:c>
      <x:c r="C21" s="89"/>
      <x:c r="D21" s="89"/>
      <x:c r="E21" s="89"/>
      <x:c r="F21" s="89"/>
      <x:c r="G21" s="89"/>
      <x:c r="H21" s="89"/>
      <x:c r="I21" s="90"/>
      <x:c r="J21" s="90"/>
      <x:c r="K21" s="90"/>
      <x:c r="L21" s="90"/>
      <x:c r="M21" s="90"/>
      <x:c r="N21" s="91"/>
    </x:row>
    <x:row r="22" ht="32" customHeight="1">
      <x:c r="A22" s="88" t="str">
        <x:f>IF(D22="","","待配置")</x:f>
      </x:c>
      <x:c r="B22" s="88" t="str">
        <x:f>IF(D22="","",ROW()-6)</x:f>
      </x:c>
      <x:c r="C22" s="89"/>
      <x:c r="D22" s="89"/>
      <x:c r="E22" s="89"/>
      <x:c r="F22" s="89"/>
      <x:c r="G22" s="89"/>
      <x:c r="H22" s="89"/>
      <x:c r="I22" s="90"/>
      <x:c r="J22" s="90"/>
      <x:c r="K22" s="90"/>
      <x:c r="L22" s="90"/>
      <x:c r="M22" s="90"/>
      <x:c r="N22" s="91"/>
    </x:row>
    <x:row r="23" ht="32" customHeight="1">
      <x:c r="A23" s="88" t="str">
        <x:f>IF(D23="","","待配置")</x:f>
      </x:c>
      <x:c r="B23" s="88" t="str">
        <x:f>IF(D23="","",ROW()-6)</x:f>
      </x:c>
      <x:c r="C23" s="89"/>
      <x:c r="D23" s="89"/>
      <x:c r="E23" s="89"/>
      <x:c r="F23" s="89"/>
      <x:c r="G23" s="89"/>
      <x:c r="H23" s="89"/>
      <x:c r="I23" s="90"/>
      <x:c r="J23" s="90"/>
      <x:c r="K23" s="90"/>
      <x:c r="L23" s="90"/>
      <x:c r="M23" s="90"/>
      <x:c r="N23" s="91"/>
    </x:row>
    <x:row r="24" ht="32" customHeight="1">
      <x:c r="A24" s="88" t="str">
        <x:f>IF(D24="","","待配置")</x:f>
      </x:c>
      <x:c r="B24" s="88" t="str">
        <x:f>IF(D24="","",ROW()-6)</x:f>
      </x:c>
      <x:c r="C24" s="89"/>
      <x:c r="D24" s="89"/>
      <x:c r="E24" s="89"/>
      <x:c r="F24" s="89"/>
      <x:c r="G24" s="89"/>
      <x:c r="H24" s="89"/>
      <x:c r="I24" s="90"/>
      <x:c r="J24" s="90"/>
      <x:c r="K24" s="90"/>
      <x:c r="L24" s="90"/>
      <x:c r="M24" s="90"/>
      <x:c r="N24" s="91"/>
    </x:row>
    <x:row r="25" ht="32" customHeight="1">
      <x:c r="A25" s="88" t="str">
        <x:f>IF(D25="","","待配置")</x:f>
      </x:c>
      <x:c r="B25" s="88" t="str">
        <x:f>IF(D25="","",ROW()-6)</x:f>
      </x:c>
      <x:c r="C25" s="89"/>
      <x:c r="D25" s="89"/>
      <x:c r="E25" s="89"/>
      <x:c r="F25" s="89"/>
      <x:c r="G25" s="89"/>
      <x:c r="H25" s="89"/>
      <x:c r="I25" s="90"/>
      <x:c r="J25" s="90"/>
      <x:c r="K25" s="90"/>
      <x:c r="L25" s="90"/>
      <x:c r="M25" s="90"/>
      <x:c r="N25" s="91"/>
    </x:row>
    <x:row r="26" ht="32" customHeight="1">
      <x:c r="A26" s="88" t="str">
        <x:f>IF(D26="","","待配置")</x:f>
      </x:c>
      <x:c r="B26" s="88" t="str">
        <x:f>IF(D26="","",ROW()-6)</x:f>
      </x:c>
      <x:c r="C26" s="89"/>
      <x:c r="D26" s="89"/>
      <x:c r="E26" s="89"/>
      <x:c r="F26" s="89"/>
      <x:c r="G26" s="89"/>
      <x:c r="H26" s="89"/>
      <x:c r="I26" s="90"/>
      <x:c r="J26" s="90"/>
      <x:c r="K26" s="90"/>
      <x:c r="L26" s="90"/>
      <x:c r="M26" s="90"/>
      <x:c r="N26" s="91"/>
    </x:row>
    <x:row r="27" ht="32" customHeight="1">
      <x:c r="A27" s="88" t="str">
        <x:f>IF(D27="","","待配置")</x:f>
      </x:c>
      <x:c r="B27" s="88" t="str">
        <x:f>IF(D27="","",ROW()-6)</x:f>
      </x:c>
      <x:c r="C27" s="89"/>
      <x:c r="D27" s="89"/>
      <x:c r="E27" s="89"/>
      <x:c r="F27" s="89"/>
      <x:c r="G27" s="89"/>
      <x:c r="H27" s="89"/>
      <x:c r="I27" s="90"/>
      <x:c r="J27" s="90"/>
      <x:c r="K27" s="90"/>
      <x:c r="L27" s="90"/>
      <x:c r="M27" s="90"/>
      <x:c r="N27" s="91"/>
    </x:row>
    <x:row r="28" ht="32" customHeight="1">
      <x:c r="A28" s="88" t="str">
        <x:f>IF(D28="","","待配置")</x:f>
      </x:c>
      <x:c r="B28" s="88" t="str">
        <x:f>IF(D28="","",ROW()-6)</x:f>
      </x:c>
      <x:c r="C28" s="89"/>
      <x:c r="D28" s="89"/>
      <x:c r="E28" s="89"/>
      <x:c r="F28" s="89"/>
      <x:c r="G28" s="89"/>
      <x:c r="H28" s="89"/>
      <x:c r="I28" s="90"/>
      <x:c r="J28" s="90"/>
      <x:c r="K28" s="90"/>
      <x:c r="L28" s="90"/>
      <x:c r="M28" s="90"/>
      <x:c r="N28" s="91"/>
    </x:row>
    <x:row r="29" ht="32" customHeight="1">
      <x:c r="A29" s="88" t="str">
        <x:f>IF(D29="","","待配置")</x:f>
      </x:c>
      <x:c r="B29" s="88" t="str">
        <x:f>IF(D29="","",ROW()-6)</x:f>
      </x:c>
      <x:c r="C29" s="89"/>
      <x:c r="D29" s="89"/>
      <x:c r="E29" s="89"/>
      <x:c r="F29" s="89"/>
      <x:c r="G29" s="89"/>
      <x:c r="H29" s="89"/>
      <x:c r="I29" s="90"/>
      <x:c r="J29" s="90"/>
      <x:c r="K29" s="90"/>
      <x:c r="L29" s="90"/>
      <x:c r="M29" s="90"/>
      <x:c r="N29" s="91"/>
    </x:row>
    <x:row r="30" ht="32" customHeight="1">
      <x:c r="A30" s="88" t="str">
        <x:f>IF(D30="","","待配置")</x:f>
      </x:c>
      <x:c r="B30" s="88" t="str">
        <x:f>IF(D30="","",ROW()-6)</x:f>
      </x:c>
      <x:c r="C30" s="89"/>
      <x:c r="D30" s="89"/>
      <x:c r="E30" s="89"/>
      <x:c r="F30" s="89"/>
      <x:c r="G30" s="89"/>
      <x:c r="H30" s="89"/>
      <x:c r="I30" s="90"/>
      <x:c r="J30" s="90"/>
      <x:c r="K30" s="90"/>
      <x:c r="L30" s="90"/>
      <x:c r="M30" s="90"/>
      <x:c r="N30" s="91"/>
    </x:row>
    <x:row r="31" ht="32" customHeight="1">
      <x:c r="A31" s="88" t="str">
        <x:f>IF(D31="","","待配置")</x:f>
      </x:c>
      <x:c r="B31" s="88" t="str">
        <x:f>IF(D31="","",ROW()-6)</x:f>
      </x:c>
      <x:c r="C31" s="89"/>
      <x:c r="D31" s="89"/>
      <x:c r="E31" s="89"/>
      <x:c r="F31" s="89"/>
      <x:c r="G31" s="89"/>
      <x:c r="H31" s="89"/>
      <x:c r="I31" s="90"/>
      <x:c r="J31" s="90"/>
      <x:c r="K31" s="90"/>
      <x:c r="L31" s="90"/>
      <x:c r="M31" s="90"/>
      <x:c r="N31" s="91"/>
    </x:row>
    <x:row r="32" ht="32" customHeight="1">
      <x:c r="A32" s="88" t="str">
        <x:f>IF(D32="","","待配置")</x:f>
      </x:c>
      <x:c r="B32" s="88" t="str">
        <x:f>IF(D32="","",ROW()-6)</x:f>
      </x:c>
      <x:c r="C32" s="89"/>
      <x:c r="D32" s="89"/>
      <x:c r="E32" s="89"/>
      <x:c r="F32" s="89"/>
      <x:c r="G32" s="89"/>
      <x:c r="H32" s="89"/>
      <x:c r="I32" s="90"/>
      <x:c r="J32" s="90"/>
      <x:c r="K32" s="90"/>
      <x:c r="L32" s="90"/>
      <x:c r="M32" s="90"/>
      <x:c r="N32" s="91"/>
    </x:row>
    <x:row r="33" ht="32" customHeight="1">
      <x:c r="A33" s="88" t="str">
        <x:f>IF(D33="","","待配置")</x:f>
      </x:c>
      <x:c r="B33" s="88" t="str">
        <x:f>IF(D33="","",ROW()-6)</x:f>
      </x:c>
      <x:c r="C33" s="89"/>
      <x:c r="D33" s="89"/>
      <x:c r="E33" s="89"/>
      <x:c r="F33" s="89"/>
      <x:c r="G33" s="89"/>
      <x:c r="H33" s="89"/>
      <x:c r="I33" s="90"/>
      <x:c r="J33" s="90"/>
      <x:c r="K33" s="90"/>
      <x:c r="L33" s="90"/>
      <x:c r="M33" s="90"/>
      <x:c r="N33" s="91"/>
    </x:row>
    <x:row r="34" ht="32" customHeight="1">
      <x:c r="A34" s="88" t="str">
        <x:f>IF(D34="","","待配置")</x:f>
      </x:c>
      <x:c r="B34" s="88" t="str">
        <x:f>IF(D34="","",ROW()-6)</x:f>
      </x:c>
      <x:c r="C34" s="89"/>
      <x:c r="D34" s="89"/>
      <x:c r="E34" s="89"/>
      <x:c r="F34" s="89"/>
      <x:c r="G34" s="89"/>
      <x:c r="H34" s="89"/>
      <x:c r="I34" s="90"/>
      <x:c r="J34" s="90"/>
      <x:c r="K34" s="90"/>
      <x:c r="L34" s="90"/>
      <x:c r="M34" s="90"/>
      <x:c r="N34" s="91"/>
    </x:row>
    <x:row r="35" ht="32" customHeight="1">
      <x:c r="A35" s="88" t="str">
        <x:f>IF(D35="","","待配置")</x:f>
      </x:c>
      <x:c r="B35" s="88" t="str">
        <x:f>IF(D35="","",ROW()-6)</x:f>
      </x:c>
      <x:c r="C35" s="89"/>
      <x:c r="D35" s="89"/>
      <x:c r="E35" s="89"/>
      <x:c r="F35" s="89"/>
      <x:c r="G35" s="89"/>
      <x:c r="H35" s="89"/>
      <x:c r="I35" s="90"/>
      <x:c r="J35" s="90"/>
      <x:c r="K35" s="90"/>
      <x:c r="L35" s="90"/>
      <x:c r="M35" s="90"/>
      <x:c r="N35" s="91"/>
    </x:row>
    <x:row r="36" ht="32" customHeight="1">
      <x:c r="A36" s="88" t="str">
        <x:f>IF(D36="","","待配置")</x:f>
      </x:c>
      <x:c r="B36" s="88" t="str">
        <x:f>IF(D36="","",ROW()-6)</x:f>
      </x:c>
      <x:c r="C36" s="89"/>
      <x:c r="D36" s="89"/>
      <x:c r="E36" s="89"/>
      <x:c r="F36" s="89"/>
      <x:c r="G36" s="89"/>
      <x:c r="H36" s="89"/>
      <x:c r="I36" s="90"/>
      <x:c r="J36" s="90"/>
      <x:c r="K36" s="90"/>
      <x:c r="L36" s="90"/>
      <x:c r="M36" s="90"/>
      <x:c r="N36" s="91"/>
    </x:row>
    <x:row r="37" ht="32" customHeight="1">
      <x:c r="A37" s="88" t="str">
        <x:f>IF(D37="","","待配置")</x:f>
      </x:c>
      <x:c r="B37" s="88" t="str">
        <x:f>IF(D37="","",ROW()-6)</x:f>
      </x:c>
      <x:c r="C37" s="89"/>
      <x:c r="D37" s="89"/>
      <x:c r="E37" s="89"/>
      <x:c r="F37" s="89"/>
      <x:c r="G37" s="89"/>
      <x:c r="H37" s="89"/>
      <x:c r="I37" s="90"/>
      <x:c r="J37" s="90"/>
      <x:c r="K37" s="90"/>
      <x:c r="L37" s="90"/>
      <x:c r="M37" s="90"/>
      <x:c r="N37" s="91"/>
    </x:row>
    <x:row r="38" ht="32" customHeight="1">
      <x:c r="A38" s="88" t="str">
        <x:f>IF(D38="","","待配置")</x:f>
      </x:c>
      <x:c r="B38" s="88" t="str">
        <x:f>IF(D38="","",ROW()-6)</x:f>
      </x:c>
      <x:c r="C38" s="89"/>
      <x:c r="D38" s="89"/>
      <x:c r="E38" s="89"/>
      <x:c r="F38" s="89"/>
      <x:c r="G38" s="89"/>
      <x:c r="H38" s="89"/>
      <x:c r="I38" s="90"/>
      <x:c r="J38" s="90"/>
      <x:c r="K38" s="90"/>
      <x:c r="L38" s="90"/>
      <x:c r="M38" s="90"/>
      <x:c r="N38" s="91"/>
    </x:row>
    <x:row r="39" ht="32" customHeight="1">
      <x:c r="A39" s="88" t="str">
        <x:f>IF(D39="","","待配置")</x:f>
      </x:c>
      <x:c r="B39" s="88" t="str">
        <x:f>IF(D39="","",ROW()-6)</x:f>
      </x:c>
      <x:c r="C39" s="89"/>
      <x:c r="D39" s="89"/>
      <x:c r="E39" s="89"/>
      <x:c r="F39" s="89"/>
      <x:c r="G39" s="89"/>
      <x:c r="H39" s="89"/>
      <x:c r="I39" s="90"/>
      <x:c r="J39" s="90"/>
      <x:c r="K39" s="90"/>
      <x:c r="L39" s="90"/>
      <x:c r="M39" s="90"/>
      <x:c r="N39" s="91"/>
    </x:row>
    <x:row r="40" ht="32" customHeight="1">
      <x:c r="A40" s="88" t="str">
        <x:f>IF(D40="","","待配置")</x:f>
      </x:c>
      <x:c r="B40" s="88" t="str">
        <x:f>IF(D40="","",ROW()-6)</x:f>
      </x:c>
      <x:c r="C40" s="89"/>
      <x:c r="D40" s="89"/>
      <x:c r="E40" s="89"/>
      <x:c r="F40" s="89"/>
      <x:c r="G40" s="89"/>
      <x:c r="H40" s="89"/>
      <x:c r="I40" s="90"/>
      <x:c r="J40" s="90"/>
      <x:c r="K40" s="90"/>
      <x:c r="L40" s="90"/>
      <x:c r="M40" s="90"/>
      <x:c r="N40" s="91"/>
    </x:row>
    <x:row r="41" ht="32" customHeight="1">
      <x:c r="A41" s="88" t="str">
        <x:f>IF(D41="","","待配置")</x:f>
      </x:c>
      <x:c r="B41" s="88" t="str">
        <x:f>IF(D41="","",ROW()-6)</x:f>
      </x:c>
      <x:c r="C41" s="89"/>
      <x:c r="D41" s="89"/>
      <x:c r="E41" s="89"/>
      <x:c r="F41" s="89"/>
      <x:c r="G41" s="89"/>
      <x:c r="H41" s="89"/>
      <x:c r="I41" s="90"/>
      <x:c r="J41" s="90"/>
      <x:c r="K41" s="90"/>
      <x:c r="L41" s="90"/>
      <x:c r="M41" s="90"/>
      <x:c r="N41" s="91"/>
    </x:row>
    <x:row r="42" ht="32" customHeight="1">
      <x:c r="A42" s="88" t="str">
        <x:f>IF(D42="","","待配置")</x:f>
      </x:c>
      <x:c r="B42" s="88" t="str">
        <x:f>IF(D42="","",ROW()-6)</x:f>
      </x:c>
      <x:c r="C42" s="89"/>
      <x:c r="D42" s="89"/>
      <x:c r="E42" s="89"/>
      <x:c r="F42" s="89"/>
      <x:c r="G42" s="89"/>
      <x:c r="H42" s="89"/>
      <x:c r="I42" s="90"/>
      <x:c r="J42" s="90"/>
      <x:c r="K42" s="90"/>
      <x:c r="L42" s="90"/>
      <x:c r="M42" s="90"/>
      <x:c r="N42" s="91"/>
    </x:row>
    <x:row r="43" ht="32" customHeight="1">
      <x:c r="A43" s="88" t="str">
        <x:f>IF(D43="","","待配置")</x:f>
      </x:c>
      <x:c r="B43" s="88" t="str">
        <x:f>IF(D43="","",ROW()-6)</x:f>
      </x:c>
      <x:c r="C43" s="89"/>
      <x:c r="D43" s="89"/>
      <x:c r="E43" s="89"/>
      <x:c r="F43" s="89"/>
      <x:c r="G43" s="89"/>
      <x:c r="H43" s="89"/>
      <x:c r="I43" s="90"/>
      <x:c r="J43" s="90"/>
      <x:c r="K43" s="90"/>
      <x:c r="L43" s="90"/>
      <x:c r="M43" s="90"/>
      <x:c r="N43" s="91"/>
    </x:row>
    <x:row r="44" ht="32" customHeight="1">
      <x:c r="A44" s="88" t="str">
        <x:f>IF(D44="","","待配置")</x:f>
      </x:c>
      <x:c r="B44" s="88" t="str">
        <x:f>IF(D44="","",ROW()-6)</x:f>
      </x:c>
      <x:c r="C44" s="89"/>
      <x:c r="D44" s="89"/>
      <x:c r="E44" s="89"/>
      <x:c r="F44" s="89"/>
      <x:c r="G44" s="89"/>
      <x:c r="H44" s="89"/>
      <x:c r="I44" s="90"/>
      <x:c r="J44" s="90"/>
      <x:c r="K44" s="90"/>
      <x:c r="L44" s="90"/>
      <x:c r="M44" s="90"/>
      <x:c r="N44" s="91"/>
    </x:row>
    <x:row r="45" ht="32" customHeight="1">
      <x:c r="A45" s="88" t="str">
        <x:f>IF(D45="","","待配置")</x:f>
      </x:c>
      <x:c r="B45" s="88" t="str">
        <x:f>IF(D45="","",ROW()-6)</x:f>
      </x:c>
      <x:c r="C45" s="89"/>
      <x:c r="D45" s="89"/>
      <x:c r="E45" s="89"/>
      <x:c r="F45" s="89"/>
      <x:c r="G45" s="89"/>
      <x:c r="H45" s="89"/>
      <x:c r="I45" s="90"/>
      <x:c r="J45" s="90"/>
      <x:c r="K45" s="90"/>
      <x:c r="L45" s="90"/>
      <x:c r="M45" s="90"/>
      <x:c r="N45" s="91"/>
    </x:row>
    <x:row r="46" ht="32" customHeight="1">
      <x:c r="A46" s="88" t="str">
        <x:f>IF(D46="","","待配置")</x:f>
      </x:c>
      <x:c r="B46" s="88" t="str">
        <x:f>IF(D46="","",ROW()-6)</x:f>
      </x:c>
      <x:c r="C46" s="89"/>
      <x:c r="D46" s="89"/>
      <x:c r="E46" s="89"/>
      <x:c r="F46" s="89"/>
      <x:c r="G46" s="89"/>
      <x:c r="H46" s="89"/>
      <x:c r="I46" s="90"/>
      <x:c r="J46" s="90"/>
      <x:c r="K46" s="90"/>
      <x:c r="L46" s="90"/>
      <x:c r="M46" s="90"/>
      <x:c r="N46" s="91"/>
    </x:row>
    <x:row r="47" ht="32" customHeight="1">
      <x:c r="A47" s="88" t="str">
        <x:f>IF(D47="","","待配置")</x:f>
      </x:c>
      <x:c r="B47" s="88" t="str">
        <x:f>IF(D47="","",ROW()-6)</x:f>
      </x:c>
      <x:c r="C47" s="89"/>
      <x:c r="D47" s="89"/>
      <x:c r="E47" s="89"/>
      <x:c r="F47" s="89"/>
      <x:c r="G47" s="89"/>
      <x:c r="H47" s="89"/>
      <x:c r="I47" s="90"/>
      <x:c r="J47" s="90"/>
      <x:c r="K47" s="90"/>
      <x:c r="L47" s="90"/>
      <x:c r="M47" s="90"/>
      <x:c r="N47" s="91"/>
    </x:row>
    <x:row r="48" ht="32" customHeight="1">
      <x:c r="A48" s="88" t="str">
        <x:f>IF(D48="","","待配置")</x:f>
      </x:c>
      <x:c r="B48" s="88" t="str">
        <x:f>IF(D48="","",ROW()-6)</x:f>
      </x:c>
      <x:c r="C48" s="89"/>
      <x:c r="D48" s="89"/>
      <x:c r="E48" s="89"/>
      <x:c r="F48" s="89"/>
      <x:c r="G48" s="89"/>
      <x:c r="H48" s="89"/>
      <x:c r="I48" s="90"/>
      <x:c r="J48" s="90"/>
      <x:c r="K48" s="90"/>
      <x:c r="L48" s="90"/>
      <x:c r="M48" s="90"/>
      <x:c r="N48" s="91"/>
    </x:row>
    <x:row r="49" ht="32" customHeight="1">
      <x:c r="A49" s="88" t="str">
        <x:f>IF(D49="","","待配置")</x:f>
      </x:c>
      <x:c r="B49" s="88" t="str">
        <x:f>IF(D49="","",ROW()-6)</x:f>
      </x:c>
      <x:c r="C49" s="89"/>
      <x:c r="D49" s="89"/>
      <x:c r="E49" s="89"/>
      <x:c r="F49" s="89"/>
      <x:c r="G49" s="89"/>
      <x:c r="H49" s="89"/>
      <x:c r="I49" s="90"/>
      <x:c r="J49" s="90"/>
      <x:c r="K49" s="90"/>
      <x:c r="L49" s="90"/>
      <x:c r="M49" s="90"/>
      <x:c r="N49" s="91"/>
    </x:row>
    <x:row r="50" ht="32" customHeight="1">
      <x:c r="A50" s="88" t="str">
        <x:f>IF(D50="","","待配置")</x:f>
      </x:c>
      <x:c r="B50" s="88" t="str">
        <x:f>IF(D50="","",ROW()-6)</x:f>
      </x:c>
      <x:c r="C50" s="89"/>
      <x:c r="D50" s="89"/>
      <x:c r="E50" s="89"/>
      <x:c r="F50" s="89"/>
      <x:c r="G50" s="89"/>
      <x:c r="H50" s="89"/>
      <x:c r="I50" s="90"/>
      <x:c r="J50" s="90"/>
      <x:c r="K50" s="90"/>
      <x:c r="L50" s="90"/>
      <x:c r="M50" s="90"/>
      <x:c r="N50" s="91"/>
    </x:row>
    <x:row r="51" ht="32" customHeight="1">
      <x:c r="A51" s="88" t="str">
        <x:f>IF(D51="","","待配置")</x:f>
      </x:c>
      <x:c r="B51" s="88" t="str">
        <x:f>IF(D51="","",ROW()-6)</x:f>
      </x:c>
      <x:c r="C51" s="89"/>
      <x:c r="D51" s="89"/>
      <x:c r="E51" s="89"/>
      <x:c r="F51" s="89"/>
      <x:c r="G51" s="89"/>
      <x:c r="H51" s="89"/>
      <x:c r="I51" s="90"/>
      <x:c r="J51" s="90"/>
      <x:c r="K51" s="90"/>
      <x:c r="L51" s="90"/>
      <x:c r="M51" s="90"/>
      <x:c r="N51" s="91"/>
    </x:row>
    <x:row r="52" ht="32" customHeight="1">
      <x:c r="A52" s="88" t="str">
        <x:f>IF(D52="","","待配置")</x:f>
      </x:c>
      <x:c r="B52" s="88" t="str">
        <x:f>IF(D52="","",ROW()-6)</x:f>
      </x:c>
      <x:c r="C52" s="89"/>
      <x:c r="D52" s="89"/>
      <x:c r="E52" s="89"/>
      <x:c r="F52" s="89"/>
      <x:c r="G52" s="89"/>
      <x:c r="H52" s="89"/>
      <x:c r="I52" s="90"/>
      <x:c r="J52" s="90"/>
      <x:c r="K52" s="90"/>
      <x:c r="L52" s="90"/>
      <x:c r="M52" s="90"/>
      <x:c r="N52" s="91"/>
    </x:row>
    <x:row r="53" ht="32" customHeight="1">
      <x:c r="A53" s="88" t="str">
        <x:f>IF(D53="","","待配置")</x:f>
      </x:c>
      <x:c r="B53" s="88" t="str">
        <x:f>IF(D53="","",ROW()-6)</x:f>
      </x:c>
      <x:c r="C53" s="89"/>
      <x:c r="D53" s="89"/>
      <x:c r="E53" s="89"/>
      <x:c r="F53" s="89"/>
      <x:c r="G53" s="89"/>
      <x:c r="H53" s="89"/>
      <x:c r="I53" s="90"/>
      <x:c r="J53" s="90"/>
      <x:c r="K53" s="90"/>
      <x:c r="L53" s="90"/>
      <x:c r="M53" s="90"/>
      <x:c r="N53" s="91"/>
    </x:row>
    <x:row r="54" ht="32" customHeight="1">
      <x:c r="A54" s="88" t="str">
        <x:f>IF(D54="","","待配置")</x:f>
      </x:c>
      <x:c r="B54" s="88" t="str">
        <x:f>IF(D54="","",ROW()-6)</x:f>
      </x:c>
      <x:c r="C54" s="89"/>
      <x:c r="D54" s="89"/>
      <x:c r="E54" s="89"/>
      <x:c r="F54" s="89"/>
      <x:c r="G54" s="89"/>
      <x:c r="H54" s="89"/>
      <x:c r="I54" s="90"/>
      <x:c r="J54" s="90"/>
      <x:c r="K54" s="90"/>
      <x:c r="L54" s="90"/>
      <x:c r="M54" s="90"/>
      <x:c r="N54" s="91"/>
    </x:row>
    <x:row r="55" ht="32" customHeight="1">
      <x:c r="A55" s="88" t="str">
        <x:f>IF(D55="","","待配置")</x:f>
      </x:c>
      <x:c r="B55" s="88" t="str">
        <x:f>IF(D55="","",ROW()-6)</x:f>
      </x:c>
      <x:c r="C55" s="89"/>
      <x:c r="D55" s="89"/>
      <x:c r="E55" s="89"/>
      <x:c r="F55" s="89"/>
      <x:c r="G55" s="89"/>
      <x:c r="H55" s="89"/>
      <x:c r="I55" s="90"/>
      <x:c r="J55" s="90"/>
      <x:c r="K55" s="90"/>
      <x:c r="L55" s="90"/>
      <x:c r="M55" s="90"/>
      <x:c r="N55" s="91"/>
    </x:row>
    <x:row r="56" ht="32" customHeight="1">
      <x:c r="A56" s="88" t="str">
        <x:f>IF(D56="","","待配置")</x:f>
      </x:c>
      <x:c r="B56" s="88" t="str">
        <x:f>IF(D56="","",ROW()-6)</x:f>
      </x:c>
      <x:c r="C56" s="89"/>
      <x:c r="D56" s="89"/>
      <x:c r="E56" s="89"/>
      <x:c r="F56" s="89"/>
      <x:c r="G56" s="89"/>
      <x:c r="H56" s="89"/>
      <x:c r="I56" s="90"/>
      <x:c r="J56" s="90"/>
      <x:c r="K56" s="90"/>
      <x:c r="L56" s="90"/>
      <x:c r="M56" s="90"/>
      <x:c r="N56" s="91"/>
    </x:row>
    <x:row r="57" ht="32" customHeight="1">
      <x:c r="A57" s="88" t="str">
        <x:f>IF(D57="","","待配置")</x:f>
      </x:c>
      <x:c r="B57" s="88" t="str">
        <x:f>IF(D57="","",ROW()-6)</x:f>
      </x:c>
      <x:c r="C57" s="89"/>
      <x:c r="D57" s="89"/>
      <x:c r="E57" s="89"/>
      <x:c r="F57" s="89"/>
      <x:c r="G57" s="89"/>
      <x:c r="H57" s="89"/>
      <x:c r="I57" s="90"/>
      <x:c r="J57" s="90"/>
      <x:c r="K57" s="90"/>
      <x:c r="L57" s="90"/>
      <x:c r="M57" s="90"/>
      <x:c r="N57" s="91"/>
    </x:row>
    <x:row r="58" ht="32" customHeight="1">
      <x:c r="A58" s="88" t="str">
        <x:f>IF(D58="","","待配置")</x:f>
      </x:c>
      <x:c r="B58" s="88" t="str">
        <x:f>IF(D58="","",ROW()-6)</x:f>
      </x:c>
      <x:c r="C58" s="89"/>
      <x:c r="D58" s="89"/>
      <x:c r="E58" s="89"/>
      <x:c r="F58" s="89"/>
      <x:c r="G58" s="89"/>
      <x:c r="H58" s="89"/>
      <x:c r="I58" s="90"/>
      <x:c r="J58" s="90"/>
      <x:c r="K58" s="90"/>
      <x:c r="L58" s="90"/>
      <x:c r="M58" s="90"/>
      <x:c r="N58" s="91"/>
    </x:row>
    <x:row r="59" ht="32" customHeight="1">
      <x:c r="A59" s="88" t="str">
        <x:f>IF(D59="","","待配置")</x:f>
      </x:c>
      <x:c r="B59" s="88" t="str">
        <x:f>IF(D59="","",ROW()-6)</x:f>
      </x:c>
      <x:c r="C59" s="89"/>
      <x:c r="D59" s="89"/>
      <x:c r="E59" s="89"/>
      <x:c r="F59" s="89"/>
      <x:c r="G59" s="89"/>
      <x:c r="H59" s="89"/>
      <x:c r="I59" s="90"/>
      <x:c r="J59" s="90"/>
      <x:c r="K59" s="90"/>
      <x:c r="L59" s="90"/>
      <x:c r="M59" s="90"/>
      <x:c r="N59" s="91"/>
    </x:row>
    <x:row r="60" ht="32" customHeight="1">
      <x:c r="A60" s="88" t="str">
        <x:f>IF(D60="","","待配置")</x:f>
      </x:c>
      <x:c r="B60" s="88" t="str">
        <x:f>IF(D60="","",ROW()-6)</x:f>
      </x:c>
      <x:c r="C60" s="89"/>
      <x:c r="D60" s="89"/>
      <x:c r="E60" s="89"/>
      <x:c r="F60" s="89"/>
      <x:c r="G60" s="89"/>
      <x:c r="H60" s="89"/>
      <x:c r="I60" s="90"/>
      <x:c r="J60" s="90"/>
      <x:c r="K60" s="90"/>
      <x:c r="L60" s="90"/>
      <x:c r="M60" s="90"/>
      <x:c r="N60" s="91"/>
    </x:row>
    <x:row r="61" ht="32" customHeight="1">
      <x:c r="A61" s="88" t="str">
        <x:f>IF(D61="","","待配置")</x:f>
      </x:c>
      <x:c r="B61" s="88" t="str">
        <x:f>IF(D61="","",ROW()-6)</x:f>
      </x:c>
      <x:c r="C61" s="89"/>
      <x:c r="D61" s="89"/>
      <x:c r="E61" s="89"/>
      <x:c r="F61" s="89"/>
      <x:c r="G61" s="89"/>
      <x:c r="H61" s="89"/>
      <x:c r="I61" s="90"/>
      <x:c r="J61" s="90"/>
      <x:c r="K61" s="90"/>
      <x:c r="L61" s="90"/>
      <x:c r="M61" s="90"/>
      <x:c r="N61" s="91"/>
    </x:row>
    <x:row r="62" ht="32" customHeight="1">
      <x:c r="A62" s="88" t="str">
        <x:f>IF(D62="","","待配置")</x:f>
      </x:c>
      <x:c r="B62" s="88" t="str">
        <x:f>IF(D62="","",ROW()-6)</x:f>
      </x:c>
      <x:c r="C62" s="89"/>
      <x:c r="D62" s="89"/>
      <x:c r="E62" s="89"/>
      <x:c r="F62" s="89"/>
      <x:c r="G62" s="89"/>
      <x:c r="H62" s="89"/>
      <x:c r="I62" s="90"/>
      <x:c r="J62" s="90"/>
      <x:c r="K62" s="90"/>
      <x:c r="L62" s="90"/>
      <x:c r="M62" s="90"/>
      <x:c r="N62" s="91"/>
    </x:row>
    <x:row r="63" ht="32" customHeight="1">
      <x:c r="A63" s="88" t="str">
        <x:f>IF(D63="","","待配置")</x:f>
      </x:c>
      <x:c r="B63" s="88" t="str">
        <x:f>IF(D63="","",ROW()-6)</x:f>
      </x:c>
      <x:c r="C63" s="89"/>
      <x:c r="D63" s="89"/>
      <x:c r="E63" s="89"/>
      <x:c r="F63" s="89"/>
      <x:c r="G63" s="89"/>
      <x:c r="H63" s="89"/>
      <x:c r="I63" s="90"/>
      <x:c r="J63" s="90"/>
      <x:c r="K63" s="90"/>
      <x:c r="L63" s="90"/>
      <x:c r="M63" s="90"/>
      <x:c r="N63" s="91"/>
    </x:row>
    <x:row r="64" ht="32" customHeight="1">
      <x:c r="A64" s="88" t="str">
        <x:f>IF(D64="","","待配置")</x:f>
      </x:c>
      <x:c r="B64" s="88" t="str">
        <x:f>IF(D64="","",ROW()-6)</x:f>
      </x:c>
      <x:c r="C64" s="89"/>
      <x:c r="D64" s="89"/>
      <x:c r="E64" s="89"/>
      <x:c r="F64" s="89"/>
      <x:c r="G64" s="89"/>
      <x:c r="H64" s="89"/>
      <x:c r="I64" s="90"/>
      <x:c r="J64" s="90"/>
      <x:c r="K64" s="90"/>
      <x:c r="L64" s="90"/>
      <x:c r="M64" s="90"/>
      <x:c r="N64" s="91"/>
    </x:row>
    <x:row r="65" ht="32" customHeight="1">
      <x:c r="A65" s="88" t="str">
        <x:f>IF(D65="","","待配置")</x:f>
      </x:c>
      <x:c r="B65" s="88" t="str">
        <x:f>IF(D65="","",ROW()-6)</x:f>
      </x:c>
      <x:c r="C65" s="89"/>
      <x:c r="D65" s="89"/>
      <x:c r="E65" s="89"/>
      <x:c r="F65" s="89"/>
      <x:c r="G65" s="89"/>
      <x:c r="H65" s="89"/>
      <x:c r="I65" s="90"/>
      <x:c r="J65" s="90"/>
      <x:c r="K65" s="90"/>
      <x:c r="L65" s="90"/>
      <x:c r="M65" s="90"/>
      <x:c r="N65" s="91"/>
    </x:row>
    <x:row r="66" ht="32" customHeight="1">
      <x:c r="A66" s="88" t="str">
        <x:f>IF(D66="","","待配置")</x:f>
      </x:c>
      <x:c r="B66" s="88" t="str">
        <x:f>IF(D66="","",ROW()-6)</x:f>
      </x:c>
      <x:c r="C66" s="89"/>
      <x:c r="D66" s="89"/>
      <x:c r="E66" s="89"/>
      <x:c r="F66" s="89"/>
      <x:c r="G66" s="89"/>
      <x:c r="H66" s="89"/>
      <x:c r="I66" s="90"/>
      <x:c r="J66" s="90"/>
      <x:c r="K66" s="90"/>
      <x:c r="L66" s="90"/>
      <x:c r="M66" s="90"/>
      <x:c r="N66" s="91"/>
    </x:row>
    <x:row r="67" ht="32" customHeight="1">
      <x:c r="A67" s="88" t="str">
        <x:f>IF(D67="","","待配置")</x:f>
      </x:c>
      <x:c r="B67" s="88" t="str">
        <x:f>IF(D67="","",ROW()-6)</x:f>
      </x:c>
      <x:c r="C67" s="89"/>
      <x:c r="D67" s="89"/>
      <x:c r="E67" s="89"/>
      <x:c r="F67" s="89"/>
      <x:c r="G67" s="89"/>
      <x:c r="H67" s="89"/>
      <x:c r="I67" s="90"/>
      <x:c r="J67" s="90"/>
      <x:c r="K67" s="90"/>
      <x:c r="L67" s="90"/>
      <x:c r="M67" s="90"/>
      <x:c r="N67" s="91"/>
    </x:row>
    <x:row r="68" ht="32" customHeight="1">
      <x:c r="A68" s="88" t="str">
        <x:f>IF(D68="","","待配置")</x:f>
      </x:c>
      <x:c r="B68" s="88" t="str">
        <x:f>IF(D68="","",ROW()-6)</x:f>
      </x:c>
      <x:c r="C68" s="89"/>
      <x:c r="D68" s="89"/>
      <x:c r="E68" s="89"/>
      <x:c r="F68" s="89"/>
      <x:c r="G68" s="89"/>
      <x:c r="H68" s="89"/>
      <x:c r="I68" s="90"/>
      <x:c r="J68" s="90"/>
      <x:c r="K68" s="90"/>
      <x:c r="L68" s="90"/>
      <x:c r="M68" s="90"/>
      <x:c r="N68" s="91"/>
    </x:row>
    <x:row r="69" ht="32" customHeight="1">
      <x:c r="A69" s="88" t="str">
        <x:f>IF(D69="","","待配置")</x:f>
      </x:c>
      <x:c r="B69" s="88" t="str">
        <x:f>IF(D69="","",ROW()-6)</x:f>
      </x:c>
      <x:c r="C69" s="89"/>
      <x:c r="D69" s="89"/>
      <x:c r="E69" s="89"/>
      <x:c r="F69" s="89"/>
      <x:c r="G69" s="89"/>
      <x:c r="H69" s="89"/>
      <x:c r="I69" s="90"/>
      <x:c r="J69" s="90"/>
      <x:c r="K69" s="90"/>
      <x:c r="L69" s="90"/>
      <x:c r="M69" s="90"/>
      <x:c r="N69" s="91"/>
    </x:row>
    <x:row r="70" ht="32" customHeight="1">
      <x:c r="A70" s="88" t="str">
        <x:f>IF(D70="","","待配置")</x:f>
      </x:c>
      <x:c r="B70" s="88" t="str">
        <x:f>IF(D70="","",ROW()-6)</x:f>
      </x:c>
      <x:c r="C70" s="89"/>
      <x:c r="D70" s="89"/>
      <x:c r="E70" s="89"/>
      <x:c r="F70" s="89"/>
      <x:c r="G70" s="89"/>
      <x:c r="H70" s="89"/>
      <x:c r="I70" s="90"/>
      <x:c r="J70" s="90"/>
      <x:c r="K70" s="90"/>
      <x:c r="L70" s="90"/>
      <x:c r="M70" s="90"/>
      <x:c r="N70" s="91"/>
    </x:row>
    <x:row r="71" ht="32" customHeight="1">
      <x:c r="A71" s="88" t="str">
        <x:f>IF(D71="","","待配置")</x:f>
      </x:c>
      <x:c r="B71" s="88" t="str">
        <x:f>IF(D71="","",ROW()-6)</x:f>
      </x:c>
      <x:c r="C71" s="89"/>
      <x:c r="D71" s="89"/>
      <x:c r="E71" s="89"/>
      <x:c r="F71" s="89"/>
      <x:c r="G71" s="89"/>
      <x:c r="H71" s="89"/>
      <x:c r="I71" s="90"/>
      <x:c r="J71" s="90"/>
      <x:c r="K71" s="90"/>
      <x:c r="L71" s="90"/>
      <x:c r="M71" s="90"/>
      <x:c r="N71" s="91"/>
    </x:row>
    <x:row r="72" ht="32" customHeight="1">
      <x:c r="A72" s="88" t="str">
        <x:f>IF(D72="","","待配置")</x:f>
      </x:c>
      <x:c r="B72" s="88" t="str">
        <x:f>IF(D72="","",ROW()-6)</x:f>
      </x:c>
      <x:c r="C72" s="89"/>
      <x:c r="D72" s="89"/>
      <x:c r="E72" s="89"/>
      <x:c r="F72" s="89"/>
      <x:c r="G72" s="89"/>
      <x:c r="H72" s="89"/>
      <x:c r="I72" s="90"/>
      <x:c r="J72" s="90"/>
      <x:c r="K72" s="90"/>
      <x:c r="L72" s="90"/>
      <x:c r="M72" s="90"/>
      <x:c r="N72" s="91"/>
    </x:row>
    <x:row r="73" ht="32" customHeight="1">
      <x:c r="A73" s="88" t="str">
        <x:f>IF(D73="","","待配置")</x:f>
      </x:c>
      <x:c r="B73" s="88" t="str">
        <x:f>IF(D73="","",ROW()-6)</x:f>
      </x:c>
      <x:c r="C73" s="89"/>
      <x:c r="D73" s="89"/>
      <x:c r="E73" s="89"/>
      <x:c r="F73" s="89"/>
      <x:c r="G73" s="89"/>
      <x:c r="H73" s="89"/>
      <x:c r="I73" s="90"/>
      <x:c r="J73" s="90"/>
      <x:c r="K73" s="90"/>
      <x:c r="L73" s="90"/>
      <x:c r="M73" s="90"/>
      <x:c r="N73" s="91"/>
    </x:row>
    <x:row r="74" ht="32" customHeight="1">
      <x:c r="A74" s="88" t="str">
        <x:f>IF(D74="","","待配置")</x:f>
      </x:c>
      <x:c r="B74" s="88" t="str">
        <x:f>IF(D74="","",ROW()-6)</x:f>
      </x:c>
      <x:c r="C74" s="89"/>
      <x:c r="D74" s="89"/>
      <x:c r="E74" s="89"/>
      <x:c r="F74" s="89"/>
      <x:c r="G74" s="89"/>
      <x:c r="H74" s="89"/>
      <x:c r="I74" s="90"/>
      <x:c r="J74" s="90"/>
      <x:c r="K74" s="90"/>
      <x:c r="L74" s="90"/>
      <x:c r="M74" s="90"/>
      <x:c r="N74" s="91"/>
    </x:row>
    <x:row r="75" ht="32" customHeight="1">
      <x:c r="A75" s="88" t="str">
        <x:f>IF(D75="","","待配置")</x:f>
      </x:c>
      <x:c r="B75" s="88" t="str">
        <x:f>IF(D75="","",ROW()-6)</x:f>
      </x:c>
      <x:c r="C75" s="89"/>
      <x:c r="D75" s="89"/>
      <x:c r="E75" s="89"/>
      <x:c r="F75" s="89"/>
      <x:c r="G75" s="89"/>
      <x:c r="H75" s="89"/>
      <x:c r="I75" s="90"/>
      <x:c r="J75" s="90"/>
      <x:c r="K75" s="90"/>
      <x:c r="L75" s="90"/>
      <x:c r="M75" s="90"/>
      <x:c r="N75" s="91"/>
    </x:row>
    <x:row r="76" ht="32" customHeight="1">
      <x:c r="A76" s="88" t="str">
        <x:f>IF(D76="","","待配置")</x:f>
      </x:c>
      <x:c r="B76" s="88" t="str">
        <x:f>IF(D76="","",ROW()-6)</x:f>
      </x:c>
      <x:c r="C76" s="89"/>
      <x:c r="D76" s="89"/>
      <x:c r="E76" s="89"/>
      <x:c r="F76" s="89"/>
      <x:c r="G76" s="89"/>
      <x:c r="H76" s="89"/>
      <x:c r="I76" s="90"/>
      <x:c r="J76" s="90"/>
      <x:c r="K76" s="90"/>
      <x:c r="L76" s="90"/>
      <x:c r="M76" s="90"/>
      <x:c r="N76" s="91"/>
    </x:row>
    <x:row r="77" ht="32" customHeight="1">
      <x:c r="A77" s="88" t="str">
        <x:f>IF(D77="","","待配置")</x:f>
      </x:c>
      <x:c r="B77" s="88" t="str">
        <x:f>IF(D77="","",ROW()-6)</x:f>
      </x:c>
      <x:c r="C77" s="89"/>
      <x:c r="D77" s="89"/>
      <x:c r="E77" s="89"/>
      <x:c r="F77" s="89"/>
      <x:c r="G77" s="89"/>
      <x:c r="H77" s="89"/>
      <x:c r="I77" s="90"/>
      <x:c r="J77" s="90"/>
      <x:c r="K77" s="90"/>
      <x:c r="L77" s="90"/>
      <x:c r="M77" s="90"/>
      <x:c r="N77" s="91"/>
    </x:row>
    <x:row r="78" ht="32" customHeight="1">
      <x:c r="A78" s="88" t="str">
        <x:f>IF(D78="","","待配置")</x:f>
      </x:c>
      <x:c r="B78" s="88" t="str">
        <x:f>IF(D78="","",ROW()-6)</x:f>
      </x:c>
      <x:c r="C78" s="89"/>
      <x:c r="D78" s="89"/>
      <x:c r="E78" s="89"/>
      <x:c r="F78" s="89"/>
      <x:c r="G78" s="89"/>
      <x:c r="H78" s="89"/>
      <x:c r="I78" s="90"/>
      <x:c r="J78" s="90"/>
      <x:c r="K78" s="90"/>
      <x:c r="L78" s="90"/>
      <x:c r="M78" s="90"/>
      <x:c r="N78" s="91"/>
    </x:row>
    <x:row r="79" ht="32" customHeight="1">
      <x:c r="A79" s="88" t="str">
        <x:f>IF(D79="","","待配置")</x:f>
      </x:c>
      <x:c r="B79" s="88" t="str">
        <x:f>IF(D79="","",ROW()-6)</x:f>
      </x:c>
      <x:c r="C79" s="89"/>
      <x:c r="D79" s="89"/>
      <x:c r="E79" s="89"/>
      <x:c r="F79" s="89"/>
      <x:c r="G79" s="89"/>
      <x:c r="H79" s="89"/>
      <x:c r="I79" s="90"/>
      <x:c r="J79" s="90"/>
      <x:c r="K79" s="90"/>
      <x:c r="L79" s="90"/>
      <x:c r="M79" s="90"/>
      <x:c r="N79" s="91"/>
    </x:row>
    <x:row r="80" ht="32" customHeight="1">
      <x:c r="A80" s="88" t="str">
        <x:f>IF(D80="","","待配置")</x:f>
      </x:c>
      <x:c r="B80" s="88" t="str">
        <x:f>IF(D80="","",ROW()-6)</x:f>
      </x:c>
      <x:c r="C80" s="89"/>
      <x:c r="D80" s="89"/>
      <x:c r="E80" s="89"/>
      <x:c r="F80" s="89"/>
      <x:c r="G80" s="89"/>
      <x:c r="H80" s="89"/>
      <x:c r="I80" s="90"/>
      <x:c r="J80" s="90"/>
      <x:c r="K80" s="90"/>
      <x:c r="L80" s="90"/>
      <x:c r="M80" s="90"/>
      <x:c r="N80" s="91"/>
    </x:row>
    <x:row r="81" ht="32" customHeight="1">
      <x:c r="A81" s="88" t="str">
        <x:f>IF(D81="","","待配置")</x:f>
      </x:c>
      <x:c r="B81" s="88" t="str">
        <x:f>IF(D81="","",ROW()-6)</x:f>
      </x:c>
      <x:c r="C81" s="89"/>
      <x:c r="D81" s="89"/>
      <x:c r="E81" s="89"/>
      <x:c r="F81" s="89"/>
      <x:c r="G81" s="89"/>
      <x:c r="H81" s="89"/>
      <x:c r="I81" s="90"/>
      <x:c r="J81" s="90"/>
      <x:c r="K81" s="90"/>
      <x:c r="L81" s="90"/>
      <x:c r="M81" s="90"/>
      <x:c r="N81" s="91"/>
    </x:row>
    <x:row r="82" ht="32" customHeight="1">
      <x:c r="A82" s="88" t="str">
        <x:f>IF(D82="","","待配置")</x:f>
      </x:c>
      <x:c r="B82" s="88" t="str">
        <x:f>IF(D82="","",ROW()-6)</x:f>
      </x:c>
      <x:c r="C82" s="89"/>
      <x:c r="D82" s="89"/>
      <x:c r="E82" s="89"/>
      <x:c r="F82" s="89"/>
      <x:c r="G82" s="89"/>
      <x:c r="H82" s="89"/>
      <x:c r="I82" s="90"/>
      <x:c r="J82" s="90"/>
      <x:c r="K82" s="90"/>
      <x:c r="L82" s="90"/>
      <x:c r="M82" s="90"/>
      <x:c r="N82" s="91"/>
    </x:row>
    <x:row r="83" ht="32" customHeight="1">
      <x:c r="A83" s="88" t="str">
        <x:f>IF(D83="","","待配置")</x:f>
      </x:c>
      <x:c r="B83" s="88" t="str">
        <x:f>IF(D83="","",ROW()-6)</x:f>
      </x:c>
      <x:c r="C83" s="89"/>
      <x:c r="D83" s="89"/>
      <x:c r="E83" s="89"/>
      <x:c r="F83" s="89"/>
      <x:c r="G83" s="89"/>
      <x:c r="H83" s="89"/>
      <x:c r="I83" s="90"/>
      <x:c r="J83" s="90"/>
      <x:c r="K83" s="90"/>
      <x:c r="L83" s="90"/>
      <x:c r="M83" s="90"/>
      <x:c r="N83" s="91"/>
    </x:row>
    <x:row r="84" ht="32" customHeight="1">
      <x:c r="A84" s="88" t="str">
        <x:f>IF(D84="","","待配置")</x:f>
      </x:c>
      <x:c r="B84" s="88" t="str">
        <x:f>IF(D84="","",ROW()-6)</x:f>
      </x:c>
      <x:c r="C84" s="89"/>
      <x:c r="D84" s="89"/>
      <x:c r="E84" s="89"/>
      <x:c r="F84" s="89"/>
      <x:c r="G84" s="89"/>
      <x:c r="H84" s="89"/>
      <x:c r="I84" s="90"/>
      <x:c r="J84" s="90"/>
      <x:c r="K84" s="90"/>
      <x:c r="L84" s="90"/>
      <x:c r="M84" s="90"/>
      <x:c r="N84" s="91"/>
    </x:row>
    <x:row r="85" ht="32" customHeight="1">
      <x:c r="A85" s="88" t="str">
        <x:f>IF(D85="","","待配置")</x:f>
      </x:c>
      <x:c r="B85" s="88" t="str">
        <x:f>IF(D85="","",ROW()-6)</x:f>
      </x:c>
      <x:c r="C85" s="89"/>
      <x:c r="D85" s="89"/>
      <x:c r="E85" s="89"/>
      <x:c r="F85" s="89"/>
      <x:c r="G85" s="89"/>
      <x:c r="H85" s="89"/>
      <x:c r="I85" s="90"/>
      <x:c r="J85" s="90"/>
      <x:c r="K85" s="90"/>
      <x:c r="L85" s="90"/>
      <x:c r="M85" s="90"/>
      <x:c r="N85" s="91"/>
    </x:row>
    <x:row r="86" ht="32" customHeight="1">
      <x:c r="A86" s="88" t="str">
        <x:f>IF(D86="","","待配置")</x:f>
      </x:c>
      <x:c r="B86" s="88" t="str">
        <x:f>IF(D86="","",ROW()-6)</x:f>
      </x:c>
      <x:c r="C86" s="89"/>
      <x:c r="D86" s="89"/>
      <x:c r="E86" s="89"/>
      <x:c r="F86" s="89"/>
      <x:c r="G86" s="89"/>
      <x:c r="H86" s="89"/>
      <x:c r="I86" s="90"/>
      <x:c r="J86" s="90"/>
      <x:c r="K86" s="90"/>
      <x:c r="L86" s="90"/>
      <x:c r="M86" s="90"/>
      <x:c r="N86" s="91"/>
    </x:row>
    <x:row r="87" ht="32" customHeight="1">
      <x:c r="A87" s="88" t="str">
        <x:f>IF(D87="","","待配置")</x:f>
      </x:c>
      <x:c r="B87" s="88" t="str">
        <x:f>IF(D87="","",ROW()-6)</x:f>
      </x:c>
      <x:c r="C87" s="89"/>
      <x:c r="D87" s="89"/>
      <x:c r="E87" s="89"/>
      <x:c r="F87" s="89"/>
      <x:c r="G87" s="89"/>
      <x:c r="H87" s="89"/>
      <x:c r="I87" s="90"/>
      <x:c r="J87" s="90"/>
      <x:c r="K87" s="90"/>
      <x:c r="L87" s="90"/>
      <x:c r="M87" s="90"/>
      <x:c r="N87" s="91"/>
    </x:row>
    <x:row r="88" ht="32" customHeight="1">
      <x:c r="A88" s="88" t="str">
        <x:f>IF(D88="","","待配置")</x:f>
      </x:c>
      <x:c r="B88" s="88" t="str">
        <x:f>IF(D88="","",ROW()-6)</x:f>
      </x:c>
      <x:c r="C88" s="89"/>
      <x:c r="D88" s="89"/>
      <x:c r="E88" s="89"/>
      <x:c r="F88" s="89"/>
      <x:c r="G88" s="89"/>
      <x:c r="H88" s="89"/>
      <x:c r="I88" s="90"/>
      <x:c r="J88" s="90"/>
      <x:c r="K88" s="90"/>
      <x:c r="L88" s="90"/>
      <x:c r="M88" s="90"/>
      <x:c r="N88" s="91"/>
    </x:row>
    <x:row r="89" ht="32" customHeight="1">
      <x:c r="A89" s="88" t="str">
        <x:f>IF(D89="","","待配置")</x:f>
      </x:c>
      <x:c r="B89" s="88" t="str">
        <x:f>IF(D89="","",ROW()-6)</x:f>
      </x:c>
      <x:c r="C89" s="89"/>
      <x:c r="D89" s="89"/>
      <x:c r="E89" s="89"/>
      <x:c r="F89" s="89"/>
      <x:c r="G89" s="89"/>
      <x:c r="H89" s="89"/>
      <x:c r="I89" s="90"/>
      <x:c r="J89" s="90"/>
      <x:c r="K89" s="90"/>
      <x:c r="L89" s="90"/>
      <x:c r="M89" s="90"/>
      <x:c r="N89" s="91"/>
    </x:row>
    <x:row r="90" ht="32" customHeight="1">
      <x:c r="A90" s="88" t="str">
        <x:f>IF(D90="","","待配置")</x:f>
      </x:c>
      <x:c r="B90" s="88" t="str">
        <x:f>IF(D90="","",ROW()-6)</x:f>
      </x:c>
      <x:c r="C90" s="89"/>
      <x:c r="D90" s="89"/>
      <x:c r="E90" s="89"/>
      <x:c r="F90" s="89"/>
      <x:c r="G90" s="89"/>
      <x:c r="H90" s="89"/>
      <x:c r="I90" s="90"/>
      <x:c r="J90" s="90"/>
      <x:c r="K90" s="90"/>
      <x:c r="L90" s="90"/>
      <x:c r="M90" s="90"/>
      <x:c r="N90" s="91"/>
    </x:row>
    <x:row r="91" ht="32" customHeight="1">
      <x:c r="A91" s="88" t="str">
        <x:f>IF(D91="","","待配置")</x:f>
      </x:c>
      <x:c r="B91" s="88" t="str">
        <x:f>IF(D91="","",ROW()-6)</x:f>
      </x:c>
      <x:c r="C91" s="89"/>
      <x:c r="D91" s="89"/>
      <x:c r="E91" s="89"/>
      <x:c r="F91" s="89"/>
      <x:c r="G91" s="89"/>
      <x:c r="H91" s="89"/>
      <x:c r="I91" s="90"/>
      <x:c r="J91" s="90"/>
      <x:c r="K91" s="90"/>
      <x:c r="L91" s="90"/>
      <x:c r="M91" s="90"/>
      <x:c r="N91" s="91"/>
    </x:row>
    <x:row r="92" ht="32" customHeight="1">
      <x:c r="A92" s="88" t="str">
        <x:f>IF(D92="","","待配置")</x:f>
      </x:c>
      <x:c r="B92" s="88" t="str">
        <x:f>IF(D92="","",ROW()-6)</x:f>
      </x:c>
      <x:c r="C92" s="89"/>
      <x:c r="D92" s="89"/>
      <x:c r="E92" s="89"/>
      <x:c r="F92" s="89"/>
      <x:c r="G92" s="89"/>
      <x:c r="H92" s="89"/>
      <x:c r="I92" s="90"/>
      <x:c r="J92" s="90"/>
      <x:c r="K92" s="90"/>
      <x:c r="L92" s="90"/>
      <x:c r="M92" s="90"/>
      <x:c r="N92" s="91"/>
    </x:row>
    <x:row r="93" ht="32" customHeight="1">
      <x:c r="A93" s="88" t="str">
        <x:f>IF(D93="","","待配置")</x:f>
      </x:c>
      <x:c r="B93" s="88" t="str">
        <x:f>IF(D93="","",ROW()-6)</x:f>
      </x:c>
      <x:c r="C93" s="89"/>
      <x:c r="D93" s="89"/>
      <x:c r="E93" s="89"/>
      <x:c r="F93" s="89"/>
      <x:c r="G93" s="89"/>
      <x:c r="H93" s="89"/>
      <x:c r="I93" s="90"/>
      <x:c r="J93" s="90"/>
      <x:c r="K93" s="90"/>
      <x:c r="L93" s="90"/>
      <x:c r="M93" s="90"/>
      <x:c r="N93" s="91"/>
    </x:row>
    <x:row r="94" ht="32" customHeight="1">
      <x:c r="A94" s="88" t="str">
        <x:f>IF(D94="","","待配置")</x:f>
      </x:c>
      <x:c r="B94" s="88" t="str">
        <x:f>IF(D94="","",ROW()-6)</x:f>
      </x:c>
      <x:c r="C94" s="89"/>
      <x:c r="D94" s="89"/>
      <x:c r="E94" s="89"/>
      <x:c r="F94" s="89"/>
      <x:c r="G94" s="89"/>
      <x:c r="H94" s="89"/>
      <x:c r="I94" s="90"/>
      <x:c r="J94" s="90"/>
      <x:c r="K94" s="90"/>
      <x:c r="L94" s="90"/>
      <x:c r="M94" s="90"/>
      <x:c r="N94" s="91"/>
    </x:row>
    <x:row r="95" ht="32" customHeight="1">
      <x:c r="A95" s="88" t="str">
        <x:f>IF(D95="","","待配置")</x:f>
      </x:c>
      <x:c r="B95" s="88" t="str">
        <x:f>IF(D95="","",ROW()-6)</x:f>
      </x:c>
      <x:c r="C95" s="89"/>
      <x:c r="D95" s="89"/>
      <x:c r="E95" s="89"/>
      <x:c r="F95" s="89"/>
      <x:c r="G95" s="89"/>
      <x:c r="H95" s="89"/>
      <x:c r="I95" s="90"/>
      <x:c r="J95" s="90"/>
      <x:c r="K95" s="90"/>
      <x:c r="L95" s="90"/>
      <x:c r="M95" s="90"/>
      <x:c r="N95" s="91"/>
    </x:row>
    <x:row r="96" ht="32" customHeight="1">
      <x:c r="A96" s="88" t="str">
        <x:f>IF(D96="","","待配置")</x:f>
      </x:c>
      <x:c r="B96" s="88" t="str">
        <x:f>IF(D96="","",ROW()-6)</x:f>
      </x:c>
      <x:c r="C96" s="89"/>
      <x:c r="D96" s="89"/>
      <x:c r="E96" s="89"/>
      <x:c r="F96" s="89"/>
      <x:c r="G96" s="89"/>
      <x:c r="H96" s="89"/>
      <x:c r="I96" s="90"/>
      <x:c r="J96" s="90"/>
      <x:c r="K96" s="90"/>
      <x:c r="L96" s="90"/>
      <x:c r="M96" s="90"/>
      <x:c r="N96" s="91"/>
    </x:row>
    <x:row r="97" ht="32" customHeight="1">
      <x:c r="A97" s="88" t="str">
        <x:f>IF(D97="","","待配置")</x:f>
      </x:c>
      <x:c r="B97" s="88" t="str">
        <x:f>IF(D97="","",ROW()-6)</x:f>
      </x:c>
      <x:c r="C97" s="89"/>
      <x:c r="D97" s="89"/>
      <x:c r="E97" s="89"/>
      <x:c r="F97" s="89"/>
      <x:c r="G97" s="89"/>
      <x:c r="H97" s="89"/>
      <x:c r="I97" s="90"/>
      <x:c r="J97" s="90"/>
      <x:c r="K97" s="90"/>
      <x:c r="L97" s="90"/>
      <x:c r="M97" s="90"/>
      <x:c r="N97" s="91"/>
    </x:row>
    <x:row r="98" ht="32" customHeight="1">
      <x:c r="A98" s="88" t="str">
        <x:f>IF(D98="","","待配置")</x:f>
      </x:c>
      <x:c r="B98" s="88" t="str">
        <x:f>IF(D98="","",ROW()-6)</x:f>
      </x:c>
      <x:c r="C98" s="89"/>
      <x:c r="D98" s="89"/>
      <x:c r="E98" s="89"/>
      <x:c r="F98" s="89"/>
      <x:c r="G98" s="89"/>
      <x:c r="H98" s="89"/>
      <x:c r="I98" s="90"/>
      <x:c r="J98" s="90"/>
      <x:c r="K98" s="90"/>
      <x:c r="L98" s="90"/>
      <x:c r="M98" s="90"/>
      <x:c r="N98" s="91"/>
    </x:row>
    <x:row r="99" ht="32" customHeight="1">
      <x:c r="A99" s="88" t="str">
        <x:f>IF(D99="","","待配置")</x:f>
      </x:c>
      <x:c r="B99" s="88" t="str">
        <x:f>IF(D99="","",ROW()-6)</x:f>
      </x:c>
      <x:c r="C99" s="89"/>
      <x:c r="D99" s="89"/>
      <x:c r="E99" s="89"/>
      <x:c r="F99" s="89"/>
      <x:c r="G99" s="89"/>
      <x:c r="H99" s="89"/>
      <x:c r="I99" s="90"/>
      <x:c r="J99" s="90"/>
      <x:c r="K99" s="90"/>
      <x:c r="L99" s="90"/>
      <x:c r="M99" s="90"/>
      <x:c r="N99" s="91"/>
    </x:row>
    <x:row r="100" ht="32" customHeight="1">
      <x:c r="A100" s="88" t="str">
        <x:f>IF(D100="","","待配置")</x:f>
      </x:c>
      <x:c r="B100" s="88" t="str">
        <x:f>IF(D100="","",ROW()-6)</x:f>
      </x:c>
      <x:c r="C100" s="89"/>
      <x:c r="D100" s="89"/>
      <x:c r="E100" s="89"/>
      <x:c r="F100" s="89"/>
      <x:c r="G100" s="89"/>
      <x:c r="H100" s="89"/>
      <x:c r="I100" s="90"/>
      <x:c r="J100" s="90"/>
      <x:c r="K100" s="90"/>
      <x:c r="L100" s="90"/>
      <x:c r="M100" s="90"/>
      <x:c r="N100" s="91"/>
    </x:row>
    <x:row r="101" ht="32" customHeight="1">
      <x:c r="A101" s="88" t="str">
        <x:f>IF(D101="","","待配置")</x:f>
      </x:c>
      <x:c r="B101" s="88" t="str">
        <x:f>IF(D101="","",ROW()-6)</x:f>
      </x:c>
      <x:c r="C101" s="89"/>
      <x:c r="D101" s="89"/>
      <x:c r="E101" s="89"/>
      <x:c r="F101" s="89"/>
      <x:c r="G101" s="89"/>
      <x:c r="H101" s="89"/>
      <x:c r="I101" s="90"/>
      <x:c r="J101" s="90"/>
      <x:c r="K101" s="90"/>
      <x:c r="L101" s="90"/>
      <x:c r="M101" s="90"/>
      <x:c r="N101" s="91"/>
    </x:row>
    <x:row r="102" ht="32" customHeight="1">
      <x:c r="A102" s="88" t="str">
        <x:f>IF(D102="","","待配置")</x:f>
      </x:c>
      <x:c r="B102" s="88" t="str">
        <x:f>IF(D102="","",ROW()-6)</x:f>
      </x:c>
      <x:c r="C102" s="89"/>
      <x:c r="D102" s="89"/>
      <x:c r="E102" s="89"/>
      <x:c r="F102" s="89"/>
      <x:c r="G102" s="89"/>
      <x:c r="H102" s="89"/>
      <x:c r="I102" s="90"/>
      <x:c r="J102" s="90"/>
      <x:c r="K102" s="90"/>
      <x:c r="L102" s="90"/>
      <x:c r="M102" s="90"/>
      <x:c r="N102" s="91"/>
    </x:row>
    <x:row r="103" ht="32" customHeight="1">
      <x:c r="A103" s="88" t="str">
        <x:f>IF(D103="","","待配置")</x:f>
      </x:c>
      <x:c r="B103" s="88" t="str">
        <x:f>IF(D103="","",ROW()-6)</x:f>
      </x:c>
      <x:c r="C103" s="89"/>
      <x:c r="D103" s="89"/>
      <x:c r="E103" s="89"/>
      <x:c r="F103" s="89"/>
      <x:c r="G103" s="89"/>
      <x:c r="H103" s="89"/>
      <x:c r="I103" s="90"/>
      <x:c r="J103" s="90"/>
      <x:c r="K103" s="90"/>
      <x:c r="L103" s="90"/>
      <x:c r="M103" s="90"/>
      <x:c r="N103" s="91"/>
    </x:row>
    <x:row r="104" ht="32" customHeight="1">
      <x:c r="A104" s="88" t="str">
        <x:f>IF(D104="","","待配置")</x:f>
      </x:c>
      <x:c r="B104" s="88" t="str">
        <x:f>IF(D104="","",ROW()-6)</x:f>
      </x:c>
      <x:c r="C104" s="89"/>
      <x:c r="D104" s="89"/>
      <x:c r="E104" s="89"/>
      <x:c r="F104" s="89"/>
      <x:c r="G104" s="89"/>
      <x:c r="H104" s="89"/>
      <x:c r="I104" s="90"/>
      <x:c r="J104" s="90"/>
      <x:c r="K104" s="90"/>
      <x:c r="L104" s="90"/>
      <x:c r="M104" s="90"/>
      <x:c r="N104" s="91"/>
    </x:row>
    <x:row r="105" ht="32" customHeight="1">
      <x:c r="A105" s="88" t="str">
        <x:f>IF(D105="","","待配置")</x:f>
      </x:c>
      <x:c r="B105" s="88" t="str">
        <x:f>IF(D105="","",ROW()-6)</x:f>
      </x:c>
      <x:c r="C105" s="89"/>
      <x:c r="D105" s="89"/>
      <x:c r="E105" s="89"/>
      <x:c r="F105" s="89"/>
      <x:c r="G105" s="89"/>
      <x:c r="H105" s="89"/>
      <x:c r="I105" s="90"/>
      <x:c r="J105" s="90"/>
      <x:c r="K105" s="90"/>
      <x:c r="L105" s="90"/>
      <x:c r="M105" s="90"/>
      <x:c r="N105" s="91"/>
    </x:row>
    <x:row r="106" ht="32" customHeight="1">
      <x:c r="A106" s="88" t="str">
        <x:f>IF(D106="","","待配置")</x:f>
      </x:c>
      <x:c r="B106" s="88" t="str">
        <x:f>IF(D106="","",ROW()-6)</x:f>
      </x:c>
      <x:c r="C106" s="89"/>
      <x:c r="D106" s="89"/>
      <x:c r="E106" s="89"/>
      <x:c r="F106" s="89"/>
      <x:c r="G106" s="89"/>
      <x:c r="H106" s="89"/>
      <x:c r="I106" s="90"/>
      <x:c r="J106" s="90"/>
      <x:c r="K106" s="90"/>
      <x:c r="L106" s="90"/>
      <x:c r="M106" s="90"/>
      <x:c r="N106" s="91"/>
    </x:row>
  </x:sheetData>
  <x:mergeCells>
    <x:mergeCell ref="A1:N1"/>
    <x:mergeCell ref="A2:N2"/>
    <x:mergeCell ref="I3:N3"/>
  </x:mergeCells>
  <x:conditionalFormatting sqref="A7:A106">
    <x:cfRule type="containsText" dxfId="0" priority="1" operator="containsText" text="配置中"/>
    <x:cfRule type="containsText" dxfId="1" priority="2" operator="containsText" text="待确认"/>
    <x:cfRule type="containsText" dxfId="2" priority="3" operator="containsText" text="已完成"/>
  </x:conditionalFormatting>
  <x:dataValidations count="2">
    <x:dataValidation type="list" sqref="A7:A106">
      <x:formula1>"待配置,配置中,待确认,已完成"</x:formula1>
    </x:dataValidation>
    <x:dataValidation type="list" sqref="C7:C106">
      <x:formula1>"剧情,对白,事件,事件内对话,事件后剧情,不确定"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9b26874e584f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38" hidden="0" customWidth="1"/>
    <x:col min="5" max="5" width="24" hidden="0" customWidth="1"/>
    <x:col min="6" max="6" width="24" hidden="0" customWidth="1"/>
    <x:col min="7" max="7" width="25" hidden="0" customWidth="1"/>
    <x:col min="8" max="8" width="28" hidden="0" customWidth="1"/>
    <x:col min="9" max="9" width="28" hidden="0" customWidth="1"/>
    <x:col min="10" max="10" width="30" hidden="0" customWidth="1"/>
    <x:col min="11" max="11" width="36" hidden="0" customWidth="1"/>
    <x:col min="12" max="12" width="40" hidden="0" customWidth="1"/>
    <x:col min="13" max="13" width="40" hidden="0" customWidth="1"/>
    <x:col min="14" max="14" width="21" hidden="0" customWidth="1"/>
  </x:cols>
  <x:sheetData>
    <x:row r="1">
      <x:c r="A1" s="63" t="str">
        <x:v>填写示例（本页仅供参考，不会被 AI 当作待处理需求）</x:v>
      </x:c>
      <x:c r="B1" s="63" t="str">
        <x:v>填写示例（本页仅供参考，不会被 AI 当作待处理需求）</x:v>
      </x:c>
      <x:c r="C1" s="63" t="str">
        <x:v>填写示例（本页仅供参考，不会被 AI 当作待处理需求）</x:v>
      </x:c>
      <x:c r="D1" s="63" t="str">
        <x:v>填写示例（本页仅供参考，不会被 AI 当作待处理需求）</x:v>
      </x:c>
      <x:c r="E1" s="63" t="str">
        <x:v>填写示例（本页仅供参考，不会被 AI 当作待处理需求）</x:v>
      </x:c>
      <x:c r="F1" s="63" t="str">
        <x:v>填写示例（本页仅供参考，不会被 AI 当作待处理需求）</x:v>
      </x:c>
      <x:c r="G1" s="63" t="str">
        <x:v>填写示例（本页仅供参考，不会被 AI 当作待处理需求）</x:v>
      </x:c>
      <x:c r="H1" s="63" t="str">
        <x:v>填写示例（本页仅供参考，不会被 AI 当作待处理需求）</x:v>
      </x:c>
      <x:c r="I1" s="63" t="str">
        <x:v>填写示例（本页仅供参考，不会被 AI 当作待处理需求）</x:v>
      </x:c>
      <x:c r="J1" s="63" t="str">
        <x:v>填写示例（本页仅供参考，不会被 AI 当作待处理需求）</x:v>
      </x:c>
      <x:c r="K1" s="63" t="str">
        <x:v>填写示例（本页仅供参考，不会被 AI 当作待处理需求）</x:v>
      </x:c>
      <x:c r="L1" s="63" t="str">
        <x:v>填写示例（本页仅供参考，不会被 AI 当作待处理需求）</x:v>
      </x:c>
      <x:c r="M1" s="63" t="str">
        <x:v>填写示例（本页仅供参考，不会被 AI 当作待处理需求）</x:v>
      </x:c>
      <x:c r="N1" s="63" t="str">
        <x:v>填写示例（本页仅供参考，不会被 AI 当作待处理需求）</x:v>
      </x:c>
    </x:row>
    <x:row r="2">
      <x:c r="A2" s="64" t="str">
        <x:v>最低只填“需求一句话”即可；内容性质、触发、动作、对象与限制都允许留空。AI 必须把自行补全的内容写入“AI假设与待确认”。</x:v>
      </x:c>
      <x:c r="B2" s="64" t="str">
        <x:v>最低只填“需求一句话”即可；内容性质、触发、动作、对象与限制都允许留空。AI 必须把自行补全的内容写入“AI假设与待确认”。</x:v>
      </x:c>
      <x:c r="C2" s="64" t="str">
        <x:v>最低只填“需求一句话”即可；内容性质、触发、动作、对象与限制都允许留空。AI 必须把自行补全的内容写入“AI假设与待确认”。</x:v>
      </x:c>
      <x:c r="D2" s="64" t="str">
        <x:v>最低只填“需求一句话”即可；内容性质、触发、动作、对象与限制都允许留空。AI 必须把自行补全的内容写入“AI假设与待确认”。</x:v>
      </x:c>
      <x:c r="E2" s="64" t="str">
        <x:v>最低只填“需求一句话”即可；内容性质、触发、动作、对象与限制都允许留空。AI 必须把自行补全的内容写入“AI假设与待确认”。</x:v>
      </x:c>
      <x:c r="F2" s="64" t="str">
        <x:v>最低只填“需求一句话”即可；内容性质、触发、动作、对象与限制都允许留空。AI 必须把自行补全的内容写入“AI假设与待确认”。</x:v>
      </x:c>
      <x:c r="G2" s="64" t="str">
        <x:v>最低只填“需求一句话”即可；内容性质、触发、动作、对象与限制都允许留空。AI 必须把自行补全的内容写入“AI假设与待确认”。</x:v>
      </x:c>
      <x:c r="H2" s="64" t="str">
        <x:v>最低只填“需求一句话”即可；内容性质、触发、动作、对象与限制都允许留空。AI 必须把自行补全的内容写入“AI假设与待确认”。</x:v>
      </x:c>
      <x:c r="I2" s="64" t="str">
        <x:v>最低只填“需求一句话”即可；内容性质、触发、动作、对象与限制都允许留空。AI 必须把自行补全的内容写入“AI假设与待确认”。</x:v>
      </x:c>
      <x:c r="J2" s="64" t="str">
        <x:v>最低只填“需求一句话”即可；内容性质、触发、动作、对象与限制都允许留空。AI 必须把自行补全的内容写入“AI假设与待确认”。</x:v>
      </x:c>
      <x:c r="K2" s="64" t="str">
        <x:v>最低只填“需求一句话”即可；内容性质、触发、动作、对象与限制都允许留空。AI 必须把自行补全的内容写入“AI假设与待确认”。</x:v>
      </x:c>
      <x:c r="L2" s="64" t="str">
        <x:v>最低只填“需求一句话”即可；内容性质、触发、动作、对象与限制都允许留空。AI 必须把自行补全的内容写入“AI假设与待确认”。</x:v>
      </x:c>
      <x:c r="M2" s="64" t="str">
        <x:v>最低只填“需求一句话”即可；内容性质、触发、动作、对象与限制都允许留空。AI 必须把自行补全的内容写入“AI假设与待确认”。</x:v>
      </x:c>
      <x:c r="N2" s="64" t="str">
        <x:v>最低只填“需求一句话”即可；内容性质、触发、动作、对象与限制都允许留空。AI 必须把自行补全的内容写入“AI假设与待确认”。</x:v>
      </x:c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</x:row>
    <x:row r="4">
      <x:c r="A4" s="67" t="str">
        <x:v>状态</x:v>
      </x:c>
      <x:c r="B4" s="67" t="str">
        <x:v>序号</x:v>
      </x:c>
      <x:c r="C4" s="67" t="str">
        <x:v>内容性质（可空）</x:v>
      </x:c>
      <x:c r="D4" s="67" t="str">
        <x:v>需求一句话（必填）</x:v>
      </x:c>
      <x:c r="E4" s="67" t="str">
        <x:v>触发时机（可空）</x:v>
      </x:c>
      <x:c r="F4" s="67" t="str">
        <x:v>玩家动作（可空）</x:v>
      </x:c>
      <x:c r="G4" s="67" t="str">
        <x:v>对象与场景（可空）</x:v>
      </x:c>
      <x:c r="H4" s="67" t="str">
        <x:v>特殊要求（可空）</x:v>
      </x:c>
      <x:c r="I4" s="67" t="str">
        <x:v>AI配置判断</x:v>
      </x:c>
      <x:c r="J4" s="67" t="str">
        <x:v>涉及配置表</x:v>
      </x:c>
      <x:c r="K4" s="67" t="str">
        <x:v>使用/新增ID</x:v>
      </x:c>
      <x:c r="L4" s="67" t="str">
        <x:v>输出文件位置</x:v>
      </x:c>
      <x:c r="M4" s="67" t="str">
        <x:v>AI假设与待确认</x:v>
      </x:c>
      <x:c r="N4" s="67" t="str">
        <x:v>完成时间</x:v>
      </x:c>
    </x:row>
    <x:row r="5" ht="72" customHeight="1">
      <x:c r="A5" s="88" t="str">
        <x:v>待配置</x:v>
      </x:c>
      <x:c r="B5" s="88" t="n">
        <x:v>1</x:v>
      </x:c>
      <x:c r="C5" s="89" t="str">
        <x:v>剧情</x:v>
      </x:c>
      <x:c r="D5" s="89" t="str">
        <x:v>完成主线任务后自动播放奶茶鼠和阿白的短对话</x:v>
      </x:c>
      <x:c r="E5" s="89" t="str">
        <x:v>任务完成后</x:v>
      </x:c>
      <x:c r="F5" s="89" t="str">
        <x:v>自动播放</x:v>
      </x:c>
      <x:c r="G5" s="89" t="str">
        <x:v>餐厅</x:v>
      </x:c>
      <x:c r="H5" s="89" t="str">
        <x:v>可跳过；不发奖励</x:v>
      </x:c>
      <x:c r="I5" s="90" t="str">
        <x:v>直接剧情；任务入口触发</x:v>
      </x:c>
      <x:c r="J5" s="90" t="str">
        <x:v>tPlot、tPlotStep、tDialogueTable、tDialogContent、tlanguage_cn</x:v>
      </x:c>
      <x:c r="K5" s="90" t="str">
        <x:v>AI处理后填写</x:v>
      </x:c>
      <x:c r="L5" s="90" t="str">
        <x:v>AI处理后填写</x:v>
      </x:c>
      <x:c r="M5" s="90" t="str">
        <x:v>对白组号段、触发入口和角色资源需核对</x:v>
      </x:c>
      <x:c r="N5" s="90"/>
    </x:row>
    <x:row r="6" ht="72" customHeight="1">
      <x:c r="A6" s="88" t="str">
        <x:v>待配置</x:v>
      </x:c>
      <x:c r="B6" s="88" t="n">
        <x:v>2</x:v>
      </x:c>
      <x:c r="C6" s="89" t="str">
        <x:v>事件内对话</x:v>
      </x:c>
      <x:c r="D6" s="89" t="str">
        <x:v>矿下出现 NPC，玩家靠近后对话，对话结束事件完成</x:v>
      </x:c>
      <x:c r="E6" s="89" t="str">
        <x:v>首次进入目标矿层</x:v>
      </x:c>
      <x:c r="F6" s="89" t="str">
        <x:v>靠近 NPC</x:v>
      </x:c>
      <x:c r="G6" s="89" t="str">
        <x:v>挖矿场景</x:v>
      </x:c>
      <x:c r="H6" s="89" t="str">
        <x:v>不接后续剧情</x:v>
      </x:c>
      <x:c r="I6" s="90" t="str">
        <x:v>挖矿事件 + 对话链</x:v>
      </x:c>
      <x:c r="J6" s="90" t="str">
        <x:v>tEventTrigger、tEventPool、tEventGroup、tMineEvent、tMineTalkEvent、对话和文本表</x:v>
      </x:c>
      <x:c r="K6" s="90" t="str">
        <x:v>AI处理后填写</x:v>
      </x:c>
      <x:c r="L6" s="90" t="str">
        <x:v>AI处理后填写</x:v>
      </x:c>
      <x:c r="M6" s="90" t="str">
        <x:v>矿层、坐标、完成方式和对白为待核对项</x:v>
      </x:c>
      <x:c r="N6" s="90"/>
    </x:row>
    <x:row r="7" ht="72" customHeight="1">
      <x:c r="A7" s="88" t="str">
        <x:v>待配置</x:v>
      </x:c>
      <x:c r="B7" s="88" t="n">
        <x:v>3</x:v>
      </x:c>
      <x:c r="C7" s="89" t="str">
        <x:v>事件后剧情</x:v>
      </x:c>
      <x:c r="D7" s="89" t="str">
        <x:v>贵妇鹅事件完成后播放一段正式剧情</x:v>
      </x:c>
      <x:c r="E7" s="89" t="str">
        <x:v>具体事件完成后</x:v>
      </x:c>
      <x:c r="F7" s="89" t="str">
        <x:v>先事件交互，再自动剧情</x:v>
      </x:c>
      <x:c r="G7" s="89" t="str">
        <x:v>餐厅</x:v>
      </x:c>
      <x:c r="H7" s="89" t="str">
        <x:v>事件内对白与剧情对白不能重复</x:v>
      </x:c>
      <x:c r="I7" s="90" t="str">
        <x:v>事件完成信号连接 tPlot</x:v>
      </x:c>
      <x:c r="J7" s="90" t="str">
        <x:v>事件核心链、详情表、tPlot、tPlotStep、对话和文本表</x:v>
      </x:c>
      <x:c r="K7" s="90" t="str">
        <x:v>AI处理后填写</x:v>
      </x:c>
      <x:c r="L7" s="90" t="str">
        <x:v>AI处理后填写</x:v>
      </x:c>
      <x:c r="M7" s="90" t="str">
        <x:v>剧情条件必须使用具体 tEventGroup.id</x:v>
      </x:c>
      <x:c r="N7" s="90"/>
    </x:row>
    <x:row r="8">
      <x:c r="A8" s="65"/>
      <x:c r="B8" s="65"/>
      <x:c r="C8" s="65"/>
      <x:c r="D8" s="65"/>
      <x:c r="E8" s="65"/>
      <x:c r="F8" s="65"/>
      <x:c r="G8" s="65"/>
      <x:c r="H8" s="65"/>
      <x:c r="I8" s="65"/>
      <x:c r="J8" s="65"/>
      <x:c r="K8" s="65"/>
      <x:c r="L8" s="65"/>
      <x:c r="M8" s="65"/>
      <x:c r="N8" s="65"/>
    </x:row>
    <x:row r="9">
      <x:c r="A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B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C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D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E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F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G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H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I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J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K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L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M9" s="92" t="str">
        <x:v>处理完成后：AI 将状态写为已完成，回填判断、表、ID、输出路径、假设、确认项和完成时间。没有实机验证时只能标记为“草案已生成，静态 QA 通过，尚未导出”。</x:v>
      </x:c>
      <x:c r="N9" s="92" t="str">
        <x:v>处理完成后：AI 将状态写为已完成，回填判断、表、ID、输出路径、假设、确认项和完成时间。没有实机验证时只能标记为“草案已生成，静态 QA 通过，尚未导出”。</x:v>
      </x:c>
    </x:row>
  </x:sheetData>
  <x:mergeCells>
    <x:mergeCell ref="A1:N1"/>
    <x:mergeCell ref="A2:N2"/>
    <x:mergeCell ref="A9:N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8" hidden="0" customWidth="1"/>
    <x:col min="4" max="4" width="28" hidden="0" customWidth="1"/>
    <x:col min="5" max="5" width="38" hidden="0" customWidth="1"/>
    <x:col min="6" max="6" width="34" hidden="0" customWidth="1"/>
  </x:cols>
  <x:sheetData>
    <x:row r="1">
      <x:c r="A1" s="63" t="str">
        <x:v>剧情 / 事件 AI 配置规则（AI 必须读取）</x:v>
      </x:c>
      <x:c r="B1" s="63" t="str">
        <x:v>剧情 / 事件 AI 配置规则（AI 必须读取）</x:v>
      </x:c>
      <x:c r="C1" s="63" t="str">
        <x:v>剧情 / 事件 AI 配置规则（AI 必须读取）</x:v>
      </x:c>
      <x:c r="D1" s="63" t="str">
        <x:v>剧情 / 事件 AI 配置规则（AI 必须读取）</x:v>
      </x:c>
      <x:c r="E1" s="63" t="str">
        <x:v>剧情 / 事件 AI 配置规则（AI 必须读取）</x:v>
      </x:c>
      <x:c r="F1" s="63" t="str">
        <x:v>剧情 / 事件 AI 配置规则（AI 必须读取）</x:v>
      </x:c>
    </x:row>
    <x:row r="2" ht="36" customHeight="1">
      <x:c r="A2" s="64" t="str">
        <x:v>需求描述决定玩家经历；当前源表、运行时代码、Prefab 和关联表决定具体字段。先闭合触发和引用链，再写 END 下方草案。</x:v>
      </x:c>
      <x:c r="B2" s="64" t="str">
        <x:v>需求描述决定玩家经历；当前源表、运行时代码、Prefab 和关联表决定具体字段。先闭合触发和引用链，再写 END 下方草案。</x:v>
      </x:c>
      <x:c r="C2" s="64" t="str">
        <x:v>需求描述决定玩家经历；当前源表、运行时代码、Prefab 和关联表决定具体字段。先闭合触发和引用链，再写 END 下方草案。</x:v>
      </x:c>
      <x:c r="D2" s="64" t="str">
        <x:v>需求描述决定玩家经历；当前源表、运行时代码、Prefab 和关联表决定具体字段。先闭合触发和引用链，再写 END 下方草案。</x:v>
      </x:c>
      <x:c r="E2" s="64" t="str">
        <x:v>需求描述决定玩家经历；当前源表、运行时代码、Prefab 和关联表决定具体字段。先闭合触发和引用链，再写 END 下方草案。</x:v>
      </x:c>
      <x:c r="F2" s="64" t="str">
        <x:v>需求描述决定玩家经历；当前源表、运行时代码、Prefab 和关联表决定具体字段。先闭合触发和引用链，再写 END 下方草案。</x:v>
      </x:c>
    </x:row>
    <x:row r="3">
      <x:c r="A3" s="65"/>
      <x:c r="B3" s="65"/>
      <x:c r="C3" s="65"/>
      <x:c r="D3" s="65"/>
      <x:c r="E3" s="65"/>
      <x:c r="F3" s="65"/>
    </x:row>
    <x:row r="4">
      <x:c r="A4" s="66" t="str">
        <x:v>A. 活动池、状态与并发</x:v>
      </x:c>
      <x:c r="B4" s="66" t="str">
        <x:v>A. 活动池、状态与并发</x:v>
      </x:c>
      <x:c r="C4" s="66" t="str">
        <x:v>A. 活动池、状态与并发</x:v>
      </x:c>
      <x:c r="D4" s="66" t="str">
        <x:v>A. 活动池、状态与并发</x:v>
      </x:c>
      <x:c r="E4" s="66" t="str">
        <x:v>A. 活动池、状态与并发</x:v>
      </x:c>
      <x:c r="F4" s="66" t="str">
        <x:v>A. 活动池、状态与并发</x:v>
      </x:c>
    </x:row>
    <x:row r="5">
      <x:c r="A5" s="67" t="str">
        <x:v>配置项</x:v>
      </x:c>
      <x:c r="B5" s="67" t="str">
        <x:v>适用条件</x:v>
      </x:c>
      <x:c r="C5" s="67" t="str">
        <x:v>固定规则</x:v>
      </x:c>
      <x:c r="D5" s="67" t="str">
        <x:v>主要证据</x:v>
      </x:c>
      <x:c r="E5" s="67" t="str">
        <x:v>风险/例外</x:v>
      </x:c>
      <x:c r="F5" s="67" t="str">
        <x:v>AI动作</x:v>
      </x:c>
    </x:row>
    <x:row r="6" ht="48" customHeight="1">
      <x:c r="A6" s="68" t="str">
        <x:v>唯一入口</x:v>
      </x:c>
      <x:c r="B6" s="68" t="str">
        <x:v>日常新增需求</x:v>
      </x:c>
      <x:c r="C6" s="68" t="str">
        <x:v>只读‘填写需求’页；不从示例、归档或历史输出接单</x:v>
      </x:c>
      <x:c r="D6" s="68" t="str">
        <x:v>当前活动池</x:v>
      </x:c>
      <x:c r="E6" s="68" t="str">
        <x:v>成员点名某行时只处理匹配项</x:v>
      </x:c>
      <x:c r="F6" s="68" t="str">
        <x:v>筛选有效行</x:v>
      </x:c>
    </x:row>
    <x:row r="7" ht="48" customHeight="1">
      <x:c r="A7" s="68" t="str">
        <x:v>有效行</x:v>
      </x:c>
      <x:c r="B7" s="68" t="str">
        <x:v>默认批处理</x:v>
      </x:c>
      <x:c r="C7" s="68" t="str">
        <x:v>状态=待配置 且 需求一句话非空</x:v>
      </x:c>
      <x:c r="D7" s="68" t="str">
        <x:v>填写需求页</x:v>
      </x:c>
      <x:c r="E7" s="68" t="str">
        <x:v>空白预留行不处理</x:v>
      </x:c>
      <x:c r="F7" s="68" t="str">
        <x:v>按序号升序</x:v>
      </x:c>
    </x:row>
    <x:row r="8" ht="48" customHeight="1">
      <x:c r="A8" s="68" t="str">
        <x:v>状态锁</x:v>
      </x:c>
      <x:c r="B8" s="68" t="str">
        <x:v>开始单行任务</x:v>
      </x:c>
      <x:c r="C8" s="68" t="str">
        <x:v>先把状态改为配置中，避免重复处理</x:v>
      </x:c>
      <x:c r="D8" s="68" t="str">
        <x:v>活动池状态列</x:v>
      </x:c>
      <x:c r="E8" s="68" t="str">
        <x:v>工作簿被占用时不得强写</x:v>
      </x:c>
      <x:c r="F8" s="68" t="str">
        <x:v>确认可写后锁定</x:v>
      </x:c>
    </x:row>
    <x:row r="9" ht="48" customHeight="1">
      <x:c r="A9" s="68" t="str">
        <x:v>成功回填</x:v>
      </x:c>
      <x:c r="B9" s="68" t="str">
        <x:v>草案与 QA 完成</x:v>
      </x:c>
      <x:c r="C9" s="68" t="str">
        <x:v>状态=已完成；回填 I:N 全部结果字段</x:v>
      </x:c>
      <x:c r="D9" s="68" t="str">
        <x:v>配置记录与 manifest</x:v>
      </x:c>
      <x:c r="E9" s="68" t="str">
        <x:v>已完成不等于导表生效</x:v>
      </x:c>
      <x:c r="F9" s="68" t="str">
        <x:v>写明成熟度</x:v>
      </x:c>
    </x:row>
    <x:row r="10" ht="48" customHeight="1">
      <x:c r="A10" s="68" t="str">
        <x:v>失败恢复</x:v>
      </x:c>
      <x:c r="B10" s="68" t="str">
        <x:v>无法安全判断或生成失败</x:v>
      </x:c>
      <x:c r="C10" s="68" t="str">
        <x:v>恢复为待配置，并在 AI假设与待确认写清阻塞</x:v>
      </x:c>
      <x:c r="D10" s="68" t="str">
        <x:v>错误证据</x:v>
      </x:c>
      <x:c r="E10" s="68" t="str">
        <x:v>不要留下配置中或假完成</x:v>
      </x:c>
      <x:c r="F10" s="68" t="str">
        <x:v>保留可复现错误</x:v>
      </x:c>
    </x:row>
    <x:row r="11" ht="48" customHeight="1">
      <x:c r="A11" s="68" t="str">
        <x:v>处理范围</x:v>
      </x:c>
      <x:c r="B11" s="68" t="str">
        <x:v>用户点名行/功能</x:v>
      </x:c>
      <x:c r="C11" s="68" t="str">
        <x:v>只处理匹配需求；未点名时处理全部有效行</x:v>
      </x:c>
      <x:c r="D11" s="68" t="str">
        <x:v>用户指令</x:v>
      </x:c>
      <x:c r="E11" s="68" t="str">
        <x:v>跨行共用 ID 时仍需整体查冲突</x:v>
      </x:c>
      <x:c r="F11" s="68" t="str">
        <x:v>建立批次清单</x:v>
      </x:c>
    </x:row>
    <x:row r="12">
      <x:c r="A12" s="65"/>
      <x:c r="B12" s="65"/>
      <x:c r="C12" s="65"/>
      <x:c r="D12" s="65"/>
      <x:c r="E12" s="65"/>
      <x:c r="F12" s="65"/>
    </x:row>
    <x:row r="13">
      <x:c r="A13" s="66" t="str">
        <x:v>B. 分类与主路线</x:v>
      </x:c>
      <x:c r="B13" s="66" t="str">
        <x:v>B. 分类与主路线</x:v>
      </x:c>
      <x:c r="C13" s="66" t="str">
        <x:v>B. 分类与主路线</x:v>
      </x:c>
      <x:c r="D13" s="66" t="str">
        <x:v>B. 分类与主路线</x:v>
      </x:c>
      <x:c r="E13" s="66" t="str">
        <x:v>B. 分类与主路线</x:v>
      </x:c>
      <x:c r="F13" s="66" t="str">
        <x:v>B. 分类与主路线</x:v>
      </x:c>
    </x:row>
    <x:row r="14">
      <x:c r="A14" s="67" t="str">
        <x:v>配置项</x:v>
      </x:c>
      <x:c r="B14" s="67" t="str">
        <x:v>适用条件</x:v>
      </x:c>
      <x:c r="C14" s="67" t="str">
        <x:v>固定规则</x:v>
      </x:c>
      <x:c r="D14" s="67" t="str">
        <x:v>主要证据</x:v>
      </x:c>
      <x:c r="E14" s="67" t="str">
        <x:v>风险/例外</x:v>
      </x:c>
      <x:c r="F14" s="67" t="str">
        <x:v>AI动作</x:v>
      </x:c>
    </x:row>
    <x:row r="15" ht="48" customHeight="1">
      <x:c r="A15" s="68" t="str">
        <x:v>纯剧情</x:v>
      </x:c>
      <x:c r="B15" s="68" t="str">
        <x:v>过场、自动对白、Timeline、奖励</x:v>
      </x:c>
      <x:c r="C15" s="68" t="str">
        <x:v>tPlot → tPlotStep → 对话/Timeline/奖励/任务</x:v>
      </x:c>
      <x:c r="D15" s="68" t="str">
        <x:v>剧情说明+代码</x:v>
      </x:c>
      <x:c r="E15" s="68" t="str">
        <x:v>区分自动启动与 StartPlotById</x:v>
      </x:c>
      <x:c r="F15" s="68" t="str">
        <x:v>先确认入口</x:v>
      </x:c>
    </x:row>
    <x:row r="16" ht="48" customHeight="1">
      <x:c r="A16" s="68" t="str">
        <x:v>独立对白</x:v>
      </x:c>
      <x:c r="B16" s="68" t="str">
        <x:v>只改一组台词</x:v>
      </x:c>
      <x:c r="C16" s="68" t="str">
        <x:v>tDialogueTable → tDialogContent → tGuideTrole/tlanguage_cn，并反查消费者</x:v>
      </x:c>
      <x:c r="D16" s="68" t="str">
        <x:v>对话表+代码</x:v>
      </x:c>
      <x:c r="E16" s="68" t="str">
        <x:v>不要生成无人引用对白</x:v>
      </x:c>
      <x:c r="F16" s="68" t="str">
        <x:v>列出消费者</x:v>
      </x:c>
    </x:row>
    <x:row r="17" ht="48" customHeight="1">
      <x:c r="A17" s="68" t="str">
        <x:v>事件内对话</x:v>
      </x:c>
      <x:c r="B17" s="68" t="str">
        <x:v>角色/对象出现并点击或靠近说话</x:v>
      </x:c>
      <x:c r="C17" s="68" t="str">
        <x:v>事件详情 + Group/Pool/Trigger + 对话链</x:v>
      </x:c>
      <x:c r="D17" s="68" t="str">
        <x:v>事件说明+详情表</x:v>
      </x:c>
      <x:c r="E17" s="68" t="str">
        <x:v>明确对白结束是否完成事件</x:v>
      </x:c>
      <x:c r="F17" s="68" t="str">
        <x:v>写完整事件生命周期</x:v>
      </x:c>
    </x:row>
    <x:row r="18" ht="48" customHeight="1">
      <x:c r="A18" s="68" t="str">
        <x:v>挖矿事件</x:v>
      </x:c>
      <x:c r="B18" s="68" t="str">
        <x:v>矿下 NPC、靠近、破坏地块</x:v>
      </x:c>
      <x:c r="C18" s="68" t="str">
        <x:v>tMineEvent + tMineTalkEvent + 核心事件链</x:v>
      </x:c>
      <x:c r="D18" s="68" t="str">
        <x:v>矿层与代码</x:v>
      </x:c>
      <x:c r="E18" s="68" t="str">
        <x:v>完成条件和坐标高风险</x:v>
      </x:c>
      <x:c r="F18" s="68" t="str">
        <x:v>实机测试设计</x:v>
      </x:c>
    </x:row>
    <x:row r="19" ht="48" customHeight="1">
      <x:c r="A19" s="68" t="str">
        <x:v>团餐事件</x:v>
      </x:c>
      <x:c r="B19" s="68" t="str">
        <x:v>订单、菜品数量</x:v>
      </x:c>
      <x:c r="C19" s="68" t="str">
        <x:v>tGroupMeal 及 Food/Filter/Dining 辅助表</x:v>
      </x:c>
      <x:c r="D19" s="68" t="str">
        <x:v>团餐表+代码</x:v>
      </x:c>
      <x:c r="E19" s="68" t="str">
        <x:v>food list 指向 tagId</x:v>
      </x:c>
      <x:c r="F19" s="68" t="str">
        <x:v>核对动态菜品链</x:v>
      </x:c>
    </x:row>
    <x:row r="20" ht="48" customHeight="1">
      <x:c r="A20" s="68" t="str">
        <x:v>顾客/商人</x:v>
      </x:c>
      <x:c r="B20" s="68" t="str">
        <x:v>网红、霸王餐、小偷、商人</x:v>
      </x:c>
      <x:c r="C20" s="68" t="str">
        <x:v>tEventCuster + tEventCusterResolut + 核心事件链</x:v>
      </x:c>
      <x:c r="D20" s="68" t="str">
        <x:v>顾客表+代码</x:v>
      </x:c>
      <x:c r="E20" s="68" t="str">
        <x:v>结果、消息、推文、奖励分支</x:v>
      </x:c>
      <x:c r="F20" s="68" t="str">
        <x:v>分别查文本与对白</x:v>
      </x:c>
    </x:row>
    <x:row r="21" ht="48" customHeight="1">
      <x:c r="A21" s="68" t="str">
        <x:v>流行菜</x:v>
      </x:c>
      <x:c r="B21" s="68" t="str">
        <x:v>流行菜、口味季、客流</x:v>
      </x:c>
      <x:c r="C21" s="68" t="str">
        <x:v>tTrendContent + 核心事件链</x:v>
      </x:c>
      <x:c r="D21" s="68" t="str">
        <x:v>流行菜表+代码</x:v>
      </x:c>
      <x:c r="E21" s="68" t="str">
        <x:v>时长以 tEventGroup.endParam 为准</x:v>
      </x:c>
      <x:c r="F21" s="68" t="str">
        <x:v>核对档位与文本</x:v>
      </x:c>
    </x:row>
    <x:row r="22" ht="48" customHeight="1">
      <x:c r="A22" s="68" t="str">
        <x:v>事件后剧情</x:v>
      </x:c>
      <x:c r="B22" s="68" t="str">
        <x:v>事件完成后播放正式剧情</x:v>
      </x:c>
      <x:c r="C22" s="68" t="str">
        <x:v>先完成具体事件，再由 tPlot 监听具体 tEventGroup.id</x:v>
      </x:c>
      <x:c r="D22" s="68" t="str">
        <x:v>事件+剧情说明</x:v>
      </x:c>
      <x:c r="E22" s="68" t="str">
        <x:v>事件内对白不得与剧情对白重复</x:v>
      </x:c>
      <x:c r="F22" s="68" t="str">
        <x:v>双向验证</x:v>
      </x:c>
    </x:row>
    <x:row r="23" ht="48" customHeight="1">
      <x:c r="A23" s="68" t="str">
        <x:v>经营烹饪</x:v>
      </x:c>
      <x:c r="B23" s="68" t="str">
        <x:v>失败率或烹饪时间变化</x:v>
      </x:c>
      <x:c r="C23" s="68" t="str">
        <x:v>tManageEvent* 独立配置</x:v>
      </x:c>
      <x:c r="D23" s="68" t="str">
        <x:v>经营烹饪代码</x:v>
      </x:c>
      <x:c r="E23" s="68" t="str">
        <x:v>不接核心事件剧情链</x:v>
      </x:c>
      <x:c r="F23" s="68" t="str">
        <x:v>单独路由</x:v>
      </x:c>
    </x:row>
    <x:row r="24">
      <x:c r="A24" s="65"/>
      <x:c r="B24" s="65"/>
      <x:c r="C24" s="65"/>
      <x:c r="D24" s="65"/>
      <x:c r="E24" s="65"/>
      <x:c r="F24" s="65"/>
    </x:row>
    <x:row r="25">
      <x:c r="A25" s="66" t="str">
        <x:v>C. ID 与跨表等式</x:v>
      </x:c>
      <x:c r="B25" s="66" t="str">
        <x:v>C. ID 与跨表等式</x:v>
      </x:c>
      <x:c r="C25" s="66" t="str">
        <x:v>C. ID 与跨表等式</x:v>
      </x:c>
      <x:c r="D25" s="66" t="str">
        <x:v>C. ID 与跨表等式</x:v>
      </x:c>
      <x:c r="E25" s="66" t="str">
        <x:v>C. ID 与跨表等式</x:v>
      </x:c>
      <x:c r="F25" s="66" t="str">
        <x:v>C. ID 与跨表等式</x:v>
      </x:c>
    </x:row>
    <x:row r="26">
      <x:c r="A26" s="67" t="str">
        <x:v>配置项</x:v>
      </x:c>
      <x:c r="B26" s="67" t="str">
        <x:v>适用条件</x:v>
      </x:c>
      <x:c r="C26" s="67" t="str">
        <x:v>固定规则</x:v>
      </x:c>
      <x:c r="D26" s="67" t="str">
        <x:v>主要证据</x:v>
      </x:c>
      <x:c r="E26" s="67" t="str">
        <x:v>风险/例外</x:v>
      </x:c>
      <x:c r="F26" s="67" t="str">
        <x:v>AI动作</x:v>
      </x:c>
    </x:row>
    <x:row r="27" ht="48" customHeight="1">
      <x:c r="A27" s="68" t="str">
        <x:v>Trigger ID</x:v>
      </x:c>
      <x:c r="B27" s="68" t="str">
        <x:v>tEventTrigger.id</x:v>
      </x:c>
      <x:c r="C27" s="68" t="str">
        <x:v>触发规则、存档和次数键</x:v>
      </x:c>
      <x:c r="D27" s="68" t="str">
        <x:v>tEventTrigger</x:v>
      </x:c>
      <x:c r="E27" s="68" t="str">
        <x:v>不是 Pool ID</x:v>
      </x:c>
      <x:c r="F27" s="68" t="str">
        <x:v>表内查唯一</x:v>
      </x:c>
    </x:row>
    <x:row r="28" ht="48" customHeight="1">
      <x:c r="A28" s="68" t="str">
        <x:v>Pool 行 ID</x:v>
      </x:c>
      <x:c r="B28" s="68" t="str">
        <x:v>tEventPool.id</x:v>
      </x:c>
      <x:c r="C28" s="68" t="str">
        <x:v>池规则行自身 ID</x:v>
      </x:c>
      <x:c r="D28" s="68" t="str">
        <x:v>tEventPool</x:v>
      </x:c>
      <x:c r="E28" s="68" t="str">
        <x:v>Trigger 不直接引用它</x:v>
      </x:c>
      <x:c r="F28" s="68" t="str">
        <x:v>独立分配</x:v>
      </x:c>
    </x:row>
    <x:row r="29" ht="48" customHeight="1">
      <x:c r="A29" s="68" t="str">
        <x:v>池标签</x:v>
      </x:c>
      <x:c r="B29" s="68" t="str">
        <x:v>Trigger→Pool</x:v>
      </x:c>
      <x:c r="C29" s="68" t="str">
        <x:v>tEventTrigger.eventPoolId[] 元素 = tEventPool.eventType</x:v>
      </x:c>
      <x:c r="D29" s="68" t="str">
        <x:v>事件代码</x:v>
      </x:c>
      <x:c r="E29" s="68" t="str">
        <x:v>权重数组长度必须一致</x:v>
      </x:c>
      <x:c r="F29" s="68" t="str">
        <x:v>逐项解析</x:v>
      </x:c>
    </x:row>
    <x:row r="30" ht="48" customHeight="1">
      <x:c r="A30" s="68" t="str">
        <x:v>groupId</x:v>
      </x:c>
      <x:c r="B30" s="68" t="str">
        <x:v>Pool→Group</x:v>
      </x:c>
      <x:c r="C30" s="68" t="str">
        <x:v>tEventPool.eventTypeId[] 元素 = tEventGroup.groupId</x:v>
      </x:c>
      <x:c r="D30" s="68" t="str">
        <x:v>事件代码</x:v>
      </x:c>
      <x:c r="E30" s="68" t="str">
        <x:v>可能对应多个具体事件</x:v>
      </x:c>
      <x:c r="F30" s="68" t="str">
        <x:v>核对筛选和权重</x:v>
      </x:c>
    </x:row>
    <x:row r="31" ht="48" customHeight="1">
      <x:c r="A31" s="68" t="str">
        <x:v>具体事件 ID</x:v>
      </x:c>
      <x:c r="B31" s="68" t="str">
        <x:v>Group→详情</x:v>
      </x:c>
      <x:c r="C31" s="68" t="str">
        <x:v>tEventGroup.id = 对应 eventType 详情表.id</x:v>
      </x:c>
      <x:c r="D31" s="68" t="str">
        <x:v>详情分发代码</x:v>
      </x:c>
      <x:c r="E31" s="68" t="str">
        <x:v>完成通知使用该值</x:v>
      </x:c>
      <x:c r="F31" s="68" t="str">
        <x:v>检查同 ID 详情</x:v>
      </x:c>
    </x:row>
    <x:row r="32" ht="48" customHeight="1">
      <x:c r="A32" s="68" t="str">
        <x:v>事件后剧情参数</x:v>
      </x:c>
      <x:c r="B32" s="68" t="str">
        <x:v>tPlot 条件=2</x:v>
      </x:c>
      <x:c r="C32" s="68" t="str">
        <x:v>参数必须是具体 tEventGroup.id</x:v>
      </x:c>
      <x:c r="D32" s="68" t="str">
        <x:v>PlotModel</x:v>
      </x:c>
      <x:c r="E32" s="68" t="str">
        <x:v>不得填 Trigger/Pool/groupId</x:v>
      </x:c>
      <x:c r="F32" s="68" t="str">
        <x:v>正反向校验</x:v>
      </x:c>
    </x:row>
    <x:row r="33" ht="48" customHeight="1">
      <x:c r="A33" s="68" t="str">
        <x:v>语言 ID</x:v>
      </x:c>
      <x:c r="B33" s="68" t="str">
        <x:v>玩家可见文字</x:v>
      </x:c>
      <x:c r="C33" s="68" t="str">
        <x:v>正文写入 tlanguage_cn；业务表只引用 ID</x:v>
      </x:c>
      <x:c r="D33" s="68" t="str">
        <x:v>语言表+代码</x:v>
      </x:c>
      <x:c r="E33" s="68" t="str">
        <x:v>标签和占位符必须保留</x:v>
      </x:c>
      <x:c r="F33" s="68" t="str">
        <x:v>查正文非空</x:v>
      </x:c>
    </x:row>
    <x:row r="34" ht="48" customHeight="1">
      <x:c r="A34" s="68" t="str">
        <x:v>剧情编号</x:v>
      </x:c>
      <x:c r="B34" s="68" t="str">
        <x:v>Plot/Step/Dialog/Content</x:v>
      </x:c>
      <x:c r="C34" s="68" t="str">
        <x:v>保持现有业务段、父子前缀和句序</x:v>
      </x:c>
      <x:c r="D34" s="68" t="str">
        <x:v>同模块成熟案例</x:v>
      </x:c>
      <x:c r="E34" s="68" t="str">
        <x:v>禁止全局 MAX+1</x:v>
      </x:c>
      <x:c r="F34" s="68" t="str">
        <x:v>先列候选再碰撞检查</x:v>
      </x:c>
    </x:row>
    <x:row r="35">
      <x:c r="A35" s="65"/>
      <x:c r="B35" s="65"/>
      <x:c r="C35" s="65"/>
      <x:c r="D35" s="65"/>
      <x:c r="E35" s="65"/>
      <x:c r="F35" s="65"/>
    </x:row>
    <x:row r="36">
      <x:c r="A36" s="66" t="str">
        <x:v>D. 证据、写入与激活</x:v>
      </x:c>
      <x:c r="B36" s="66" t="str">
        <x:v>D. 证据、写入与激活</x:v>
      </x:c>
      <x:c r="C36" s="66" t="str">
        <x:v>D. 证据、写入与激活</x:v>
      </x:c>
      <x:c r="D36" s="66" t="str">
        <x:v>D. 证据、写入与激活</x:v>
      </x:c>
      <x:c r="E36" s="66" t="str">
        <x:v>D. 证据、写入与激活</x:v>
      </x:c>
      <x:c r="F36" s="66" t="str">
        <x:v>D. 证据、写入与激活</x:v>
      </x:c>
    </x:row>
    <x:row r="37">
      <x:c r="A37" s="67" t="str">
        <x:v>配置项</x:v>
      </x:c>
      <x:c r="B37" s="67" t="str">
        <x:v>适用条件</x:v>
      </x:c>
      <x:c r="C37" s="67" t="str">
        <x:v>固定规则</x:v>
      </x:c>
      <x:c r="D37" s="67" t="str">
        <x:v>主要证据</x:v>
      </x:c>
      <x:c r="E37" s="67" t="str">
        <x:v>风险/例外</x:v>
      </x:c>
      <x:c r="F37" s="67" t="str">
        <x:v>AI动作</x:v>
      </x:c>
    </x:row>
    <x:row r="38" ht="48" customHeight="1">
      <x:c r="A38" s="68" t="str">
        <x:v>S/T/D/A</x:v>
      </x:c>
      <x:c r="B38" s="68" t="str">
        <x:v>所有关键值</x:v>
      </x:c>
      <x:c r="C38" s="68" t="str">
        <x:v>S=用户；T=当前表/代码/Prefab；D=可复核推导；A=假设</x:v>
      </x:c>
      <x:c r="D38" s="68" t="str">
        <x:v>需求与项目证据</x:v>
      </x:c>
      <x:c r="E38" s="68" t="str">
        <x:v>A 不得冒充正式值</x:v>
      </x:c>
      <x:c r="F38" s="68" t="str">
        <x:v>写入配置记录</x:v>
      </x:c>
    </x:row>
    <x:row r="39" ht="48" customHeight="1">
      <x:c r="A39" s="68" t="str">
        <x:v>高风险字段</x:v>
      </x:c>
      <x:c r="B39" s="68" t="str">
        <x:v>触发、ID、枚举、路径、资源、奖励</x:v>
      </x:c>
      <x:c r="C39" s="68" t="str">
        <x:v>优先取得代码/关联表证据</x:v>
      </x:c>
      <x:c r="D39" s="68" t="str">
        <x:v>代码、Prefab、表</x:v>
      </x:c>
      <x:c r="E39" s="68" t="str">
        <x:v>缺证据时只能 A-假设</x:v>
      </x:c>
      <x:c r="F39" s="68" t="str">
        <x:v>给实机验证步骤</x:v>
      </x:c>
    </x:row>
    <x:row r="40" ht="48" customHeight="1">
      <x:c r="A40" s="68" t="str">
        <x:v>正式源</x:v>
      </x:c>
      <x:c r="B40" s="68" t="str">
        <x:v>Table 工作簿</x:v>
      </x:c>
      <x:c r="C40" s="68" t="str">
        <x:v>只读；复制整本到输出目录后修改</x:v>
      </x:c>
      <x:c r="D40" s="68" t="str">
        <x:v>策划/配置表/Table</x:v>
      </x:c>
      <x:c r="E40" s="68" t="str">
        <x:v>不得原地覆盖</x:v>
      </x:c>
      <x:c r="F40" s="68" t="str">
        <x:v>记录源与目标</x:v>
      </x:c>
    </x:row>
    <x:row r="41" ht="48" customHeight="1">
      <x:c r="A41" s="68" t="str">
        <x:v>END</x:v>
      </x:c>
      <x:c r="B41" s="68" t="str">
        <x:v>每个目标 Sheet</x:v>
      </x:c>
      <x:c r="C41" s="68" t="str">
        <x:v>A列首个严格等于 END 的下一行开始写草案</x:v>
      </x:c>
      <x:c r="D41" s="68" t="str">
        <x:v>当前工作簿</x:v>
      </x:c>
      <x:c r="E41" s="68" t="str">
        <x:v>各 Sheet END 行可能不同</x:v>
      </x:c>
      <x:c r="F41" s="68" t="str">
        <x:v>逐 Sheet 记录行号</x:v>
      </x:c>
    </x:row>
    <x:row r="42" ht="48" customHeight="1">
      <x:c r="A42" s="68" t="str">
        <x:v>修改既有行</x:v>
      </x:c>
      <x:c r="B42" s="68" t="str">
        <x:v>对正式行提修改</x:v>
      </x:c>
      <x:c r="C42" s="68" t="str">
        <x:v>完整复制到 END 下方后修改</x:v>
      </x:c>
      <x:c r="D42" s="68" t="str">
        <x:v>原正式行</x:v>
      </x:c>
      <x:c r="E42" s="68" t="str">
        <x:v>不能直接改正式区</x:v>
      </x:c>
      <x:c r="F42" s="68" t="str">
        <x:v>A列标明原行</x:v>
      </x:c>
    </x:row>
    <x:row r="43" ht="48" customHeight="1">
      <x:c r="A43" s="68" t="str">
        <x:v>JSON</x:v>
      </x:c>
      <x:c r="B43" s="68" t="str">
        <x:v>arr 与复合参数</x:v>
      </x:c>
      <x:c r="C43" s="68" t="str">
        <x:v>必须是严格 JSON</x:v>
      </x:c>
      <x:c r="D43" s="68" t="str">
        <x:v>字段类型+代码解析</x:v>
      </x:c>
      <x:c r="E43" s="68" t="str">
        <x:v>二维 str 也可能要求 JSON</x:v>
      </x:c>
      <x:c r="F43" s="68" t="str">
        <x:v>保存后重新解析</x:v>
      </x:c>
    </x:row>
    <x:row r="44" ht="48" customHeight="1">
      <x:c r="A44" s="68" t="str">
        <x:v>激活</x:v>
      </x:c>
      <x:c r="B44" s="68" t="str">
        <x:v>策划明确授权后</x:v>
      </x:c>
      <x:c r="C44" s="68" t="str">
        <x:v>将确认草案合并至 END 上方，重新执行全量 QA 和导表</x:v>
      </x:c>
      <x:c r="D44" s="68" t="str">
        <x:v>用户授权</x:v>
      </x:c>
      <x:c r="E44" s="68" t="str">
        <x:v>同 ID 不能正式/草案并存</x:v>
      </x:c>
      <x:c r="F44" s="68" t="str">
        <x:v>记录激活时间与版本</x:v>
      </x:c>
    </x:row>
    <x:row r="45">
      <x:c r="A45" s="65"/>
      <x:c r="B45" s="65"/>
      <x:c r="C45" s="65"/>
      <x:c r="D45" s="65"/>
      <x:c r="E45" s="65"/>
      <x:c r="F45" s="65"/>
    </x:row>
    <x:row r="46">
      <x:c r="A46" s="66" t="str">
        <x:v>E. QA、交付与归档</x:v>
      </x:c>
      <x:c r="B46" s="66" t="str">
        <x:v>E. QA、交付与归档</x:v>
      </x:c>
      <x:c r="C46" s="66" t="str">
        <x:v>E. QA、交付与归档</x:v>
      </x:c>
      <x:c r="D46" s="66" t="str">
        <x:v>E. QA、交付与归档</x:v>
      </x:c>
      <x:c r="E46" s="66" t="str">
        <x:v>E. QA、交付与归档</x:v>
      </x:c>
      <x:c r="F46" s="66" t="str">
        <x:v>E. QA、交付与归档</x:v>
      </x:c>
    </x:row>
    <x:row r="47">
      <x:c r="A47" s="67" t="str">
        <x:v>配置项</x:v>
      </x:c>
      <x:c r="B47" s="67" t="str">
        <x:v>适用条件</x:v>
      </x:c>
      <x:c r="C47" s="67" t="str">
        <x:v>固定规则</x:v>
      </x:c>
      <x:c r="D47" s="67" t="str">
        <x:v>主要证据</x:v>
      </x:c>
      <x:c r="E47" s="67" t="str">
        <x:v>风险/例外</x:v>
      </x:c>
      <x:c r="F47" s="67" t="str">
        <x:v>AI动作</x:v>
      </x:c>
    </x:row>
    <x:row r="48" ht="48" customHeight="1">
      <x:c r="A48" s="68" t="str">
        <x:v>回读</x:v>
      </x:c>
      <x:c r="B48" s="68" t="str">
        <x:v>保存完成后</x:v>
      </x:c>
      <x:c r="C48" s="68" t="str">
        <x:v>重新打开全部工作簿，核对值、公式、样式和引用</x:v>
      </x:c>
      <x:c r="D48" s="68" t="str">
        <x:v>最终文件</x:v>
      </x:c>
      <x:c r="E48" s="68" t="str">
        <x:v>写出不等于完成</x:v>
      </x:c>
      <x:c r="F48" s="68" t="str">
        <x:v>形成回读证据</x:v>
      </x:c>
    </x:row>
    <x:row r="49" ht="48" customHeight="1">
      <x:c r="A49" s="68" t="str">
        <x:v>公式</x:v>
      </x:c>
      <x:c r="B49" s="68" t="str">
        <x:v>公式或依赖行发生变化</x:v>
      </x:c>
      <x:c r="C49" s="68" t="str">
        <x:v>兼容引擎重算并检查缓存</x:v>
      </x:c>
      <x:c r="D49" s="68" t="str">
        <x:v>公式与缓存</x:v>
      </x:c>
      <x:c r="E49" s="68" t="str">
        <x:v>扫描 REF/DIV0/VALUE/NAME/NA</x:v>
      </x:c>
      <x:c r="F49" s="68" t="str">
        <x:v>区分导出列和辅助列</x:v>
      </x:c>
    </x:row>
    <x:row r="50" ht="48" customHeight="1">
      <x:c r="A50" s="68" t="str">
        <x:v>剧情 QA</x:v>
      </x:c>
      <x:c r="B50" s="68" t="str">
        <x:v>含 tPlot/对白</x:v>
      </x:c>
      <x:c r="C50" s="68" t="str">
        <x:v>检查步骤参数、对白、角色、语言、Timeline、奖励、场景与启动路径</x:v>
      </x:c>
      <x:c r="D50" s="68" t="str">
        <x:v>完整引用链</x:v>
      </x:c>
      <x:c r="E50" s="68" t="str">
        <x:v>暂停和跳过语义按代码</x:v>
      </x:c>
      <x:c r="F50" s="68" t="str">
        <x:v>逐项闭合</x:v>
      </x:c>
    </x:row>
    <x:row r="51" ht="48" customHeight="1">
      <x:c r="A51" s="68" t="str">
        <x:v>事件 QA</x:v>
      </x:c>
      <x:c r="B51" s="68" t="str">
        <x:v>含核心事件链</x:v>
      </x:c>
      <x:c r="C51" s="68" t="str">
        <x:v>检查数组长度、池可达、区间遮挡、详情同 ID、完成通知与后续消费者</x:v>
      </x:c>
      <x:c r="D51" s="68" t="str">
        <x:v>Trigger/Pool/Group/详情</x:v>
      </x:c>
      <x:c r="E51" s="68" t="str">
        <x:v>四类 ID 不混用</x:v>
      </x:c>
      <x:c r="F51" s="68" t="str">
        <x:v>双向遍历</x:v>
      </x:c>
    </x:row>
    <x:row r="52" ht="48" customHeight="1">
      <x:c r="A52" s="68" t="str">
        <x:v>视觉 QA</x:v>
      </x:c>
      <x:c r="B52" s="68" t="str">
        <x:v>所有受影响 Sheet</x:v>
      </x:c>
      <x:c r="C52" s="68" t="str">
        <x:v>渲染并检查表头、草案位置、长文本、颜色和裁切</x:v>
      </x:c>
      <x:c r="D52" s="68" t="str">
        <x:v>渲染图</x:v>
      </x:c>
      <x:c r="E52" s="68" t="str">
        <x:v>不能只看单元格值</x:v>
      </x:c>
      <x:c r="F52" s="68" t="str">
        <x:v>修复严重缺陷</x:v>
      </x:c>
    </x:row>
    <x:row r="53" ht="48" customHeight="1">
      <x:c r="A53" s="68" t="str">
        <x:v>交付包</x:v>
      </x:c>
      <x:c r="B53" s="68" t="str">
        <x:v>每条成功需求</x:v>
      </x:c>
      <x:c r="C53" s="68" t="str">
        <x:v>工作簿、generation-manifest.json、配置记录、预览、QA、测试步骤</x:v>
      </x:c>
      <x:c r="D53" s="68" t="str">
        <x:v>输出目录</x:v>
      </x:c>
      <x:c r="E53" s="68" t="str">
        <x:v>不要只交文字分析</x:v>
      </x:c>
      <x:c r="F53" s="68" t="str">
        <x:v>回填绝对路径</x:v>
      </x:c>
    </x:row>
    <x:row r="54" ht="48" customHeight="1">
      <x:c r="A54" s="68" t="str">
        <x:v>成熟度</x:v>
      </x:c>
      <x:c r="B54" s="68" t="str">
        <x:v>最终状态</x:v>
      </x:c>
      <x:c r="C54" s="68" t="str">
        <x:v>草案静态通过 / 已激活导表待实机 / 实机通过 / 阻塞</x:v>
      </x:c>
      <x:c r="D54" s="68" t="str">
        <x:v>QA与运行证据</x:v>
      </x:c>
      <x:c r="E54" s="68" t="str">
        <x:v>无实机证据不得写正式生效</x:v>
      </x:c>
      <x:c r="F54" s="68" t="str">
        <x:v>明确标注</x:v>
      </x:c>
    </x:row>
    <x:row r="55" ht="48" customHeight="1">
      <x:c r="A55" s="68" t="str">
        <x:v>归档</x:v>
      </x:c>
      <x:c r="B55" s="68" t="str">
        <x:v>活动池已完成记录达到50条</x:v>
      </x:c>
      <x:c r="C55" s="68" t="str">
        <x:v>先追加到 AI生成/配置记录/YYYY-MM.xlsx，回读成功后再移出活动池</x:v>
      </x:c>
      <x:c r="D55" s="68" t="str">
        <x:v>活动池+归档</x:v>
      </x:c>
      <x:c r="E55" s="68" t="str">
        <x:v>归档不是经验库</x:v>
      </x:c>
      <x:c r="F55" s="68" t="str">
        <x:v>保留最近完成记录</x:v>
      </x:c>
    </x:row>
    <x:row r="56">
      <x:c r="A56" s="65"/>
      <x:c r="B56" s="65"/>
      <x:c r="C56" s="65"/>
      <x:c r="D56" s="65"/>
      <x:c r="E56" s="65"/>
      <x:c r="F56" s="65"/>
    </x:row>
    <x:row r="57">
      <x:c r="A57" s="65"/>
      <x:c r="B57" s="65"/>
      <x:c r="C57" s="65"/>
      <x:c r="D57" s="65"/>
      <x:c r="E57" s="65"/>
      <x:c r="F57" s="65"/>
    </x:row>
  </x:sheetData>
  <x:mergeCells>
    <x:mergeCell ref="A1:F1"/>
    <x:mergeCell ref="A2:F2"/>
    <x:mergeCell ref="A4:F4"/>
    <x:mergeCell ref="A13:F13"/>
    <x:mergeCell ref="A25:F25"/>
    <x:mergeCell ref="A36:F36"/>
    <x:mergeCell ref="A46:F4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58" hidden="0" customWidth="1"/>
    <x:col min="4" max="4" width="48" hidden="0" customWidth="1"/>
  </x:cols>
  <x:sheetData>
    <x:row r="1">
      <x:c r="A1" s="63" t="str">
        <x:v>剧情 / 事件需求池使用说明</x:v>
      </x:c>
      <x:c r="B1" s="63" t="str">
        <x:v>剧情 / 事件需求池使用说明</x:v>
      </x:c>
      <x:c r="C1" s="63" t="str">
        <x:v>剧情 / 事件需求池使用说明</x:v>
      </x:c>
      <x:c r="D1" s="63" t="str">
        <x:v>剧情 / 事件需求池使用说明</x:v>
      </x:c>
    </x:row>
    <x:row r="2">
      <x:c r="A2" s="64" t="str">
        <x:v>团队只长期维护一份活动需求池。旧《剧情事件AI输入模板.xlsx》保留用于兼容已有链接，但不再作为日常入口。</x:v>
      </x:c>
      <x:c r="B2" s="64" t="str">
        <x:v>团队只长期维护一份活动需求池。旧《剧情事件AI输入模板.xlsx》保留用于兼容已有链接，但不再作为日常入口。</x:v>
      </x:c>
      <x:c r="C2" s="64" t="str">
        <x:v>团队只长期维护一份活动需求池。旧《剧情事件AI输入模板.xlsx》保留用于兼容已有链接，但不再作为日常入口。</x:v>
      </x:c>
      <x:c r="D2" s="64" t="str">
        <x:v>团队只长期维护一份活动需求池。旧《剧情事件AI输入模板.xlsx》保留用于兼容已有链接，但不再作为日常入口。</x:v>
      </x:c>
    </x:row>
    <x:row r="3">
      <x:c r="A3" s="65"/>
      <x:c r="B3" s="65"/>
      <x:c r="C3" s="65"/>
      <x:c r="D3" s="65"/>
    </x:row>
    <x:row r="4">
      <x:c r="A4" s="93" t="str">
        <x:v>你想做什么</x:v>
      </x:c>
      <x:c r="B4" s="93" t="str">
        <x:v>填写位置</x:v>
      </x:c>
      <x:c r="C4" s="93" t="str">
        <x:v>对 AI 说什么</x:v>
      </x:c>
      <x:c r="D4" s="93" t="str">
        <x:v>结果</x:v>
      </x:c>
    </x:row>
    <x:row r="5" ht="42" customHeight="1">
      <x:c r="A5" s="68" t="str">
        <x:v>提交新需求</x:v>
      </x:c>
      <x:c r="B5" s="68" t="str">
        <x:v>填写需求页下一空行；最低只填需求一句话</x:v>
      </x:c>
      <x:c r="C5" s="68" t="str">
        <x:v>处理剧情事件需求池。</x:v>
      </x:c>
      <x:c r="D5" s="68" t="str">
        <x:v>处理全部有效待配置行</x:v>
      </x:c>
    </x:row>
    <x:row r="6" ht="42" customHeight="1">
      <x:c r="A6" s="68" t="str">
        <x:v>只处理一条</x:v>
      </x:c>
      <x:c r="B6" s="68" t="str">
        <x:v>照常填写活动池</x:v>
      </x:c>
      <x:c r="C6" s="68" t="str">
        <x:v>处理剧情事件需求池第 12 行。</x:v>
      </x:c>
      <x:c r="D6" s="68" t="str">
        <x:v>只锁定并处理指定行</x:v>
      </x:c>
    </x:row>
    <x:row r="7" ht="42" customHeight="1">
      <x:c r="A7" s="68" t="str">
        <x:v>处理某功能</x:v>
      </x:c>
      <x:c r="B7" s="68" t="str">
        <x:v>内容中写清功能名</x:v>
      </x:c>
      <x:c r="C7" s="68" t="str">
        <x:v>处理剧情事件需求池里‘贵妇鹅’这一项。</x:v>
      </x:c>
      <x:c r="D7" s="68" t="str">
        <x:v>只处理匹配功能</x:v>
      </x:c>
    </x:row>
    <x:row r="8" ht="42" customHeight="1">
      <x:c r="A8" s="68" t="str">
        <x:v>直接说需求</x:v>
      </x:c>
      <x:c r="B8" s="68" t="str">
        <x:v>无需先填表</x:v>
      </x:c>
      <x:c r="C8" s="68" t="str">
        <x:v>用 $bubble-story-event-guide-config 配置：&lt;一句话需求&gt;</x:v>
      </x:c>
      <x:c r="D8" s="68" t="str">
        <x:v>AI仍按同一工作流生成草案</x:v>
      </x:c>
    </x:row>
    <x:row r="9">
      <x:c r="A9" s="65"/>
      <x:c r="B9" s="65"/>
      <x:c r="C9" s="65"/>
      <x:c r="D9" s="65"/>
    </x:row>
    <x:row r="10">
      <x:c r="A10" s="93" t="str">
        <x:v>描述信号</x:v>
      </x:c>
      <x:c r="B10" s="93" t="str">
        <x:v>默认路线</x:v>
      </x:c>
      <x:c r="C10" s="93" t="str">
        <x:v>关键点</x:v>
      </x:c>
      <x:c r="D10" s="93" t="str">
        <x:v>成员主要确认</x:v>
      </x:c>
    </x:row>
    <x:row r="11" ht="38" customHeight="1">
      <x:c r="A11" s="68" t="str">
        <x:v>纯剧情/过场</x:v>
      </x:c>
      <x:c r="B11" s="68" t="str">
        <x:v>tPlot → tPlotStep → 对话</x:v>
      </x:c>
      <x:c r="C11" s="68" t="str">
        <x:v>不默认创建事件</x:v>
      </x:c>
      <x:c r="D11" s="68" t="str">
        <x:v>触发、场景、步骤、对白</x:v>
      </x:c>
    </x:row>
    <x:row r="12" ht="38" customHeight="1">
      <x:c r="A12" s="68" t="str">
        <x:v>只改对白</x:v>
      </x:c>
      <x:c r="B12" s="68" t="str">
        <x:v>Dialogue → Content → 角色/语言</x:v>
      </x:c>
      <x:c r="C12" s="68" t="str">
        <x:v>反查谁消费对白组</x:v>
      </x:c>
      <x:c r="D12" s="68" t="str">
        <x:v>角色、句序、UI表现</x:v>
      </x:c>
    </x:row>
    <x:row r="13" ht="38" customHeight="1">
      <x:c r="A13" s="68" t="str">
        <x:v>角色/对象出现并交互</x:v>
      </x:c>
      <x:c r="B13" s="68" t="str">
        <x:v>eventType=8 → GeneralProgress</x:v>
      </x:c>
      <x:c r="C13" s="68" t="str">
        <x:v>对白结束是否完成事件</x:v>
      </x:c>
      <x:c r="D13" s="68" t="str">
        <x:v>触发、对象、坐标、对白</x:v>
      </x:c>
    </x:row>
    <x:row r="14" ht="38" customHeight="1">
      <x:c r="A14" s="68" t="str">
        <x:v>矿下 NPC</x:v>
      </x:c>
      <x:c r="B14" s="68" t="str">
        <x:v>eventType=5 → MineEvent/MineTalk</x:v>
      </x:c>
      <x:c r="C14" s="68" t="str">
        <x:v>完成方式和矿层</x:v>
      </x:c>
      <x:c r="D14" s="68" t="str">
        <x:v>关卡、坐标、交互</x:v>
      </x:c>
    </x:row>
    <x:row r="15" ht="38" customHeight="1">
      <x:c r="A15" s="68" t="str">
        <x:v>团餐/顾客/商人/流行菜</x:v>
      </x:c>
      <x:c r="B15" s="68" t="str">
        <x:v>对应 eventType 详情表</x:v>
      </x:c>
      <x:c r="C15" s="68" t="str">
        <x:v>详情 ID 等于具体 Event ID</x:v>
      </x:c>
      <x:c r="D15" s="68" t="str">
        <x:v>筛选、奖励、文本</x:v>
      </x:c>
    </x:row>
    <x:row r="16" ht="38" customHeight="1">
      <x:c r="A16" s="68" t="str">
        <x:v>事件完成后播剧情</x:v>
      </x:c>
      <x:c r="B16" s="68" t="str">
        <x:v>事件链 → tPlot 条件2</x:v>
      </x:c>
      <x:c r="C16" s="68" t="str">
        <x:v>参数填具体 tEventGroup.id</x:v>
      </x:c>
      <x:c r="D16" s="68" t="str">
        <x:v>两段对白是否重复</x:v>
      </x:c>
    </x:row>
    <x:row r="17" ht="38" customHeight="1">
      <x:c r="A17" s="68" t="str">
        <x:v>引导完成后启事件/剧情</x:v>
      </x:c>
      <x:c r="B17" s="68" t="str">
        <x:v>跨域信号链</x:v>
      </x:c>
      <x:c r="C17" s="68" t="str">
        <x:v>先确定生产者 ID</x:v>
      </x:c>
      <x:c r="D17" s="68" t="str">
        <x:v>实际完成事件是否发送</x:v>
      </x:c>
    </x:row>
    <x:row r="18" ht="38" customHeight="1">
      <x:c r="A18" s="68" t="str">
        <x:v>烹饪失败/时间变化</x:v>
      </x:c>
      <x:c r="B18" s="68" t="str">
        <x:v>tManageEvent*</x:v>
      </x:c>
      <x:c r="C18" s="68" t="str">
        <x:v>独立于核心事件链</x:v>
      </x:c>
      <x:c r="D18" s="68" t="str">
        <x:v>区间、失败率、倍率</x:v>
      </x:c>
    </x:row>
    <x:row r="19">
      <x:c r="A19" s="65"/>
      <x:c r="B19" s="65"/>
      <x:c r="C19" s="65"/>
      <x:c r="D19" s="65"/>
    </x:row>
    <x:row r="20">
      <x:c r="A20" s="94" t="str">
        <x:v>固定写入边界：Table 源表只读；所有新增/修改配置先进入输出副本中各目标 Sheet 的 A列 END 行下方。未经明确‘激活/写入正式区’授权，不得移到 END 上方，不得宣称已导表生效。</x:v>
      </x:c>
      <x:c r="B20" s="94" t="str">
        <x:v>固定写入边界：Table 源表只读；所有新增/修改配置先进入输出副本中各目标 Sheet 的 A列 END 行下方。未经明确‘激活/写入正式区’授权，不得移到 END 上方，不得宣称已导表生效。</x:v>
      </x:c>
      <x:c r="C20" s="94" t="str">
        <x:v>固定写入边界：Table 源表只读；所有新增/修改配置先进入输出副本中各目标 Sheet 的 A列 END 行下方。未经明确‘激活/写入正式区’授权，不得移到 END 上方，不得宣称已导表生效。</x:v>
      </x:c>
      <x:c r="D20" s="94" t="str">
        <x:v>固定写入边界：Table 源表只读；所有新增/修改配置先进入输出副本中各目标 Sheet 的 A列 END 行下方。未经明确‘激活/写入正式区’授权，不得移到 END 上方，不得宣称已导表生效。</x:v>
      </x:c>
    </x:row>
    <x:row r="21">
      <x:c r="A21" s="94" t="str">
        <x:v>固定写入边界：Table 源表只读；所有新增/修改配置先进入输出副本中各目标 Sheet 的 A列 END 行下方。未经明确‘激活/写入正式区’授权，不得移到 END 上方，不得宣称已导表生效。</x:v>
      </x:c>
      <x:c r="B21" s="94" t="str">
        <x:v>固定写入边界：Table 源表只读；所有新增/修改配置先进入输出副本中各目标 Sheet 的 A列 END 行下方。未经明确‘激活/写入正式区’授权，不得移到 END 上方，不得宣称已导表生效。</x:v>
      </x:c>
      <x:c r="C21" s="94" t="str">
        <x:v>固定写入边界：Table 源表只读；所有新增/修改配置先进入输出副本中各目标 Sheet 的 A列 END 行下方。未经明确‘激活/写入正式区’授权，不得移到 END 上方，不得宣称已导表生效。</x:v>
      </x:c>
      <x:c r="D21" s="94" t="str">
        <x:v>固定写入边界：Table 源表只读；所有新增/修改配置先进入输出副本中各目标 Sheet 的 A列 END 行下方。未经明确‘激活/写入正式区’授权，不得移到 END 上方，不得宣称已导表生效。</x:v>
      </x:c>
    </x:row>
    <x:row r="22">
      <x:c r="A22" s="65"/>
      <x:c r="B22" s="65"/>
      <x:c r="C22" s="65"/>
      <x:c r="D22" s="65"/>
    </x:row>
    <x:row r="23">
      <x:c r="A23" s="95" t="str">
        <x:v>审核顺序：先看需求池的 AI假设与待确认 → 配置记录和 manifest → 预览确认 END 下方草案 → 策划确认 → 授权激活 → 导表与客户端实机验证。</x:v>
      </x:c>
      <x:c r="B23" s="95" t="str">
        <x:v>审核顺序：先看需求池的 AI假设与待确认 → 配置记录和 manifest → 预览确认 END 下方草案 → 策划确认 → 授权激活 → 导表与客户端实机验证。</x:v>
      </x:c>
      <x:c r="C23" s="95" t="str">
        <x:v>审核顺序：先看需求池的 AI假设与待确认 → 配置记录和 manifest → 预览确认 END 下方草案 → 策划确认 → 授权激活 → 导表与客户端实机验证。</x:v>
      </x:c>
      <x:c r="D23" s="95" t="str">
        <x:v>审核顺序：先看需求池的 AI假设与待确认 → 配置记录和 manifest → 预览确认 END 下方草案 → 策划确认 → 授权激活 → 导表与客户端实机验证。</x:v>
      </x:c>
    </x:row>
    <x:row r="24">
      <x:c r="A24" s="95" t="str">
        <x:v>审核顺序：先看需求池的 AI假设与待确认 → 配置记录和 manifest → 预览确认 END 下方草案 → 策划确认 → 授权激活 → 导表与客户端实机验证。</x:v>
      </x:c>
      <x:c r="B24" s="95" t="str">
        <x:v>审核顺序：先看需求池的 AI假设与待确认 → 配置记录和 manifest → 预览确认 END 下方草案 → 策划确认 → 授权激活 → 导表与客户端实机验证。</x:v>
      </x:c>
      <x:c r="C24" s="95" t="str">
        <x:v>审核顺序：先看需求池的 AI假设与待确认 → 配置记录和 manifest → 预览确认 END 下方草案 → 策划确认 → 授权激活 → 导表与客户端实机验证。</x:v>
      </x:c>
      <x:c r="D24" s="95" t="str">
        <x:v>审核顺序：先看需求池的 AI假设与待确认 → 配置记录和 manifest → 预览确认 END 下方草案 → 策划确认 → 授权激活 → 导表与客户端实机验证。</x:v>
      </x:c>
    </x:row>
    <x:row r="25">
      <x:c r="A25" s="65"/>
      <x:c r="B25" s="65"/>
      <x:c r="C25" s="65"/>
      <x:c r="D25" s="65"/>
    </x:row>
    <x:row r="26">
      <x:c r="A26" s="96" t="str">
        <x:v>归档：已完成记录达到50条时，先追加到 AI生成/配置记录/YYYY-MM.xlsx 并回读校验，再从活动池移除旧记录。历史记录不是经验库；通用经验应更新工作流、配置说明或 AI配置规则页。</x:v>
      </x:c>
      <x:c r="B26" s="96" t="str">
        <x:v>归档：已完成记录达到50条时，先追加到 AI生成/配置记录/YYYY-MM.xlsx 并回读校验，再从活动池移除旧记录。历史记录不是经验库；通用经验应更新工作流、配置说明或 AI配置规则页。</x:v>
      </x:c>
      <x:c r="C26" s="96" t="str">
        <x:v>归档：已完成记录达到50条时，先追加到 AI生成/配置记录/YYYY-MM.xlsx 并回读校验，再从活动池移除旧记录。历史记录不是经验库；通用经验应更新工作流、配置说明或 AI配置规则页。</x:v>
      </x:c>
      <x:c r="D26" s="96" t="str">
        <x:v>归档：已完成记录达到50条时，先追加到 AI生成/配置记录/YYYY-MM.xlsx 并回读校验，再从活动池移除旧记录。历史记录不是经验库；通用经验应更新工作流、配置说明或 AI配置规则页。</x:v>
      </x:c>
    </x:row>
    <x:row r="27">
      <x:c r="A27" s="96" t="str">
        <x:v>归档：已完成记录达到50条时，先追加到 AI生成/配置记录/YYYY-MM.xlsx 并回读校验，再从活动池移除旧记录。历史记录不是经验库；通用经验应更新工作流、配置说明或 AI配置规则页。</x:v>
      </x:c>
      <x:c r="B27" s="96" t="str">
        <x:v>归档：已完成记录达到50条时，先追加到 AI生成/配置记录/YYYY-MM.xlsx 并回读校验，再从活动池移除旧记录。历史记录不是经验库；通用经验应更新工作流、配置说明或 AI配置规则页。</x:v>
      </x:c>
      <x:c r="C27" s="96" t="str">
        <x:v>归档：已完成记录达到50条时，先追加到 AI生成/配置记录/YYYY-MM.xlsx 并回读校验，再从活动池移除旧记录。历史记录不是经验库；通用经验应更新工作流、配置说明或 AI配置规则页。</x:v>
      </x:c>
      <x:c r="D27" s="96" t="str">
        <x:v>归档：已完成记录达到50条时，先追加到 AI生成/配置记录/YYYY-MM.xlsx 并回读校验，再从活动池移除旧记录。历史记录不是经验库；通用经验应更新工作流、配置说明或 AI配置规则页。</x:v>
      </x:c>
    </x:row>
    <x:row r="28">
      <x:c r="A28" s="65"/>
      <x:c r="B28" s="65"/>
      <x:c r="C28" s="65"/>
      <x:c r="D28" s="65"/>
    </x:row>
    <x:row r="29">
      <x:c r="A29" s="93" t="str">
        <x:v>版本</x:v>
      </x:c>
      <x:c r="B29" s="93" t="str">
        <x:v>日期</x:v>
      </x:c>
      <x:c r="C29" s="93" t="str">
        <x:v>变更</x:v>
      </x:c>
      <x:c r="D29" s="93" t="str">
        <x:v>影响</x:v>
      </x:c>
    </x:row>
    <x:row r="30" ht="48" customHeight="1">
      <x:c r="A30" s="68" t="str">
        <x:v>2.0</x:v>
      </x:c>
      <x:c r="B30" s="68" t="str">
        <x:v>2026-09-03</x:v>
      </x:c>
      <x:c r="C30" s="68" t="str">
        <x:v>从单次输入模板升级为长期活动需求池；加入完整状态、证据、草案、QA、激活和归档流程</x:v>
      </x:c>
      <x:c r="D30" s="68" t="str">
        <x:v>后续剧情/事件需求统一从本工作簿进入</x:v>
      </x:c>
    </x:row>
  </x:sheetData>
  <x:mergeCells>
    <x:mergeCell ref="A1:D1"/>
    <x:mergeCell ref="A2:D2"/>
    <x:mergeCell ref="A20:D21"/>
    <x:mergeCell ref="A23:D24"/>
    <x:mergeCell ref="A26:D27"/>
  </x:mergeCells>
  <x:pageMargins left="0.7" right="0.7" top="0.75" bottom="0.75" header="0.3" footer="0.3"/>
</x:worksheet>
</file>